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wil\JCW.EM626\Systems_Integration\3_graphs\"/>
    </mc:Choice>
  </mc:AlternateContent>
  <xr:revisionPtr revIDLastSave="0" documentId="13_ncr:1_{A47F0E3E-69B3-41FA-9CE2-884C1F8065E4}" xr6:coauthVersionLast="47" xr6:coauthVersionMax="47" xr10:uidLastSave="{00000000-0000-0000-0000-000000000000}"/>
  <bookViews>
    <workbookView xWindow="-108" yWindow="-108" windowWidth="30936" windowHeight="16776" activeTab="3" xr2:uid="{72FCC3FF-EAB7-495C-8194-F93C83BBA1F9}"/>
  </bookViews>
  <sheets>
    <sheet name="Sheet3" sheetId="4" r:id="rId1"/>
    <sheet name="warehouse_gnn_gephi_nodes" sheetId="1" r:id="rId2"/>
    <sheet name="Agreement Table" sheetId="2" r:id="rId3"/>
    <sheet name="Top 10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3" l="1"/>
  <c r="O10" i="3"/>
  <c r="O9" i="3"/>
  <c r="O8" i="3"/>
  <c r="O7" i="3"/>
  <c r="O6" i="3"/>
  <c r="O5" i="3"/>
  <c r="O4" i="3"/>
  <c r="O3" i="3"/>
  <c r="O2" i="3"/>
  <c r="M39" i="1"/>
  <c r="M57" i="1"/>
  <c r="M58" i="1"/>
  <c r="M46" i="1"/>
  <c r="M10" i="1"/>
  <c r="M77" i="1"/>
  <c r="M5" i="1"/>
  <c r="M78" i="1"/>
  <c r="M79" i="1"/>
  <c r="M80" i="1"/>
  <c r="M81" i="1"/>
  <c r="M82" i="1"/>
  <c r="M83" i="1"/>
  <c r="M84" i="1"/>
  <c r="M85" i="1"/>
  <c r="M86" i="1"/>
  <c r="M22" i="1"/>
  <c r="M59" i="1"/>
  <c r="M37" i="1"/>
  <c r="M6" i="1"/>
  <c r="M87" i="1"/>
  <c r="M71" i="1"/>
  <c r="M7" i="1"/>
  <c r="M54" i="1"/>
  <c r="M11" i="1"/>
  <c r="M27" i="1"/>
  <c r="M88" i="1"/>
  <c r="M89" i="1"/>
  <c r="M23" i="1"/>
  <c r="M24" i="1"/>
  <c r="M18" i="1"/>
  <c r="M49" i="1"/>
  <c r="M90" i="1"/>
  <c r="M12" i="1"/>
  <c r="M2" i="1"/>
  <c r="M34" i="1"/>
  <c r="M91" i="1"/>
  <c r="M3" i="1"/>
  <c r="M13" i="1"/>
  <c r="M92" i="1"/>
  <c r="M93" i="1"/>
  <c r="M94" i="1"/>
  <c r="M95" i="1"/>
  <c r="M35" i="1"/>
  <c r="M25" i="1"/>
  <c r="M28" i="1"/>
  <c r="M47" i="1"/>
  <c r="M29" i="1"/>
  <c r="M96" i="1"/>
  <c r="M4" i="1"/>
  <c r="M97" i="1"/>
  <c r="M40" i="1"/>
  <c r="M98" i="1"/>
  <c r="M99" i="1"/>
  <c r="M65" i="1"/>
  <c r="M41" i="1"/>
  <c r="M42" i="1"/>
  <c r="M55" i="1"/>
  <c r="M100" i="1"/>
  <c r="M76" i="1"/>
  <c r="M14" i="1"/>
  <c r="M101" i="1"/>
  <c r="M30" i="1"/>
  <c r="M132" i="1"/>
  <c r="M15" i="1"/>
  <c r="M43" i="1"/>
  <c r="M31" i="1"/>
  <c r="M102" i="1"/>
  <c r="M19" i="1"/>
  <c r="M50" i="1"/>
  <c r="M38" i="1"/>
  <c r="M33" i="1"/>
  <c r="M103" i="1"/>
  <c r="M44" i="1"/>
  <c r="M26" i="1"/>
  <c r="M133" i="1"/>
  <c r="M51" i="1"/>
  <c r="M20" i="1"/>
  <c r="M52" i="1"/>
  <c r="M66" i="1"/>
  <c r="M67" i="1"/>
  <c r="M104" i="1"/>
  <c r="M8" i="1"/>
  <c r="M105" i="1"/>
  <c r="M106" i="1"/>
  <c r="M16" i="1"/>
  <c r="M107" i="1"/>
  <c r="M32" i="1"/>
  <c r="M108" i="1"/>
  <c r="M109" i="1"/>
  <c r="M110" i="1"/>
  <c r="M21" i="1"/>
  <c r="M111" i="1"/>
  <c r="M45" i="1"/>
  <c r="M112" i="1"/>
  <c r="M17" i="1"/>
  <c r="M113" i="1"/>
  <c r="M68" i="1"/>
  <c r="M114" i="1"/>
  <c r="M69" i="1"/>
  <c r="M9" i="1"/>
  <c r="M72" i="1"/>
  <c r="M115" i="1"/>
  <c r="M116" i="1"/>
  <c r="M117" i="1"/>
  <c r="M118" i="1"/>
  <c r="M73" i="1"/>
  <c r="M119" i="1"/>
  <c r="M120" i="1"/>
  <c r="M48" i="1"/>
  <c r="M121" i="1"/>
  <c r="M122" i="1"/>
  <c r="M123" i="1"/>
  <c r="M124" i="1"/>
  <c r="M125" i="1"/>
  <c r="M70" i="1"/>
  <c r="M61" i="1"/>
  <c r="M53" i="1"/>
  <c r="M62" i="1"/>
  <c r="M126" i="1"/>
  <c r="M63" i="1"/>
  <c r="M64" i="1"/>
  <c r="M36" i="1"/>
  <c r="M127" i="1"/>
  <c r="M128" i="1"/>
  <c r="M74" i="1"/>
  <c r="M60" i="1"/>
  <c r="M75" i="1"/>
  <c r="M129" i="1"/>
  <c r="M130" i="1"/>
  <c r="M131" i="1"/>
  <c r="M56" i="1"/>
  <c r="B9" i="2"/>
</calcChain>
</file>

<file path=xl/sharedStrings.xml><?xml version="1.0" encoding="utf-8"?>
<sst xmlns="http://schemas.openxmlformats.org/spreadsheetml/2006/main" count="1051" uniqueCount="605">
  <si>
    <t>Id</t>
  </si>
  <si>
    <t>Label</t>
  </si>
  <si>
    <t>risk_heuristic</t>
  </si>
  <si>
    <t>risk_gnn</t>
  </si>
  <si>
    <t>degree</t>
  </si>
  <si>
    <t>betweenness</t>
  </si>
  <si>
    <t>closeness</t>
  </si>
  <si>
    <t>score_low</t>
  </si>
  <si>
    <t>score_medium</t>
  </si>
  <si>
    <t>score_high</t>
  </si>
  <si>
    <t>risk_heuristic_score</t>
  </si>
  <si>
    <t>risk_gnn_score</t>
  </si>
  <si>
    <t>C1</t>
  </si>
  <si>
    <t>Autonomous Vehicle Fleet Subsystem</t>
  </si>
  <si>
    <t>medium</t>
  </si>
  <si>
    <t>low</t>
  </si>
  <si>
    <t>0.11859880266174082</t>
  </si>
  <si>
    <t>0.025252530351281166</t>
  </si>
  <si>
    <t>0.1392095685005188</t>
  </si>
  <si>
    <t>C2</t>
  </si>
  <si>
    <t>Warehouse Orchestration Subsystem</t>
  </si>
  <si>
    <t>high</t>
  </si>
  <si>
    <t>0.14602405566040394</t>
  </si>
  <si>
    <t>0.12378310412168503</t>
  </si>
  <si>
    <t>0.2552214562892914</t>
  </si>
  <si>
    <t>0.6209954619407654</t>
  </si>
  <si>
    <t>C3</t>
  </si>
  <si>
    <t>Perception, Safety &amp; Access Control Subsystem</t>
  </si>
  <si>
    <t>0.2495560497045517</t>
  </si>
  <si>
    <t>0.013746757991611958</t>
  </si>
  <si>
    <t>C4</t>
  </si>
  <si>
    <t>Infrastructure &amp; Data Services Subsystem</t>
  </si>
  <si>
    <t>0.7470021843910217</t>
  </si>
  <si>
    <t>0.16203631460666656</t>
  </si>
  <si>
    <t>C5</t>
  </si>
  <si>
    <t>External WMS/ERP System</t>
  </si>
  <si>
    <t>0.10304292053077618</t>
  </si>
  <si>
    <t>0.024639416486024857</t>
  </si>
  <si>
    <t>0.5832459926605225</t>
  </si>
  <si>
    <t>0.3921146094799042</t>
  </si>
  <si>
    <t>C6</t>
  </si>
  <si>
    <t>Robot Platform Hardware (F1)</t>
  </si>
  <si>
    <t>0.026776277157956548</t>
  </si>
  <si>
    <t>0.15256610053091732</t>
  </si>
  <si>
    <t>0.12837481498718262</t>
  </si>
  <si>
    <t>1.1153897561968183e-14</t>
  </si>
  <si>
    <t>0.8716251850128174</t>
  </si>
  <si>
    <t>C7</t>
  </si>
  <si>
    <t>Robot Firmware Controller (F2)</t>
  </si>
  <si>
    <t>0.9454707503318787</t>
  </si>
  <si>
    <t>5.79662446398288e-05</t>
  </si>
  <si>
    <t>0.054471250623464584</t>
  </si>
  <si>
    <t>C8</t>
  </si>
  <si>
    <t>Fleet Supervisor Service</t>
  </si>
  <si>
    <t>0.17237133710908642</t>
  </si>
  <si>
    <t>1.7440170267946087e-05</t>
  </si>
  <si>
    <t>0.011313896626234055</t>
  </si>
  <si>
    <t>0.9886686205863953</t>
  </si>
  <si>
    <t>C9</t>
  </si>
  <si>
    <t>Onboard Perception Module</t>
  </si>
  <si>
    <t>0.12365995077795854</t>
  </si>
  <si>
    <t>0.9139474034309387</t>
  </si>
  <si>
    <t>3.0688272545376094e-06</t>
  </si>
  <si>
    <t>C10</t>
  </si>
  <si>
    <t>Localization Module</t>
  </si>
  <si>
    <t>C11</t>
  </si>
  <si>
    <t>Backend Monitoring &amp; Logging</t>
  </si>
  <si>
    <t>C12</t>
  </si>
  <si>
    <t>Warehouse Power &amp; Network Infrastructure</t>
  </si>
  <si>
    <t>C13</t>
  </si>
  <si>
    <t>Warehouse Network Link</t>
  </si>
  <si>
    <t>C14</t>
  </si>
  <si>
    <t>Vehicle CAN Bus</t>
  </si>
  <si>
    <t>C15</t>
  </si>
  <si>
    <t>Safety Relays &amp; E-Stop Circuit</t>
  </si>
  <si>
    <t>C16</t>
  </si>
  <si>
    <t>Human Operators</t>
  </si>
  <si>
    <t>0.010178117048346055</t>
  </si>
  <si>
    <t>0.7368775010108948</t>
  </si>
  <si>
    <t>0.2524203956127167</t>
  </si>
  <si>
    <t>0.010702155530452728</t>
  </si>
  <si>
    <t>C17</t>
  </si>
  <si>
    <t>Fixed Safety and Perception Sensors</t>
  </si>
  <si>
    <t>C18</t>
  </si>
  <si>
    <t>Robot Firmware Controller</t>
  </si>
  <si>
    <t>0.014453955713497703</t>
  </si>
  <si>
    <t>0.12942761298502337</t>
  </si>
  <si>
    <t>0.013995514251291752</t>
  </si>
  <si>
    <t>0.9625868201255798</t>
  </si>
  <si>
    <t>C19</t>
  </si>
  <si>
    <t>Onboard Perception Stack</t>
  </si>
  <si>
    <t>0.7827558517456055</t>
  </si>
  <si>
    <t>0.19919711351394653</t>
  </si>
  <si>
    <t>C20</t>
  </si>
  <si>
    <t>Localization &amp; Mapping Service</t>
  </si>
  <si>
    <t>0.4040204584598541</t>
  </si>
  <si>
    <t>0.40230366587638855</t>
  </si>
  <si>
    <t>0.1936759054660797</t>
  </si>
  <si>
    <t>C21</t>
  </si>
  <si>
    <t>Path Planning &amp; Traffic Manager</t>
  </si>
  <si>
    <t>0.057572414862491206</t>
  </si>
  <si>
    <t>0.16262860935944243</t>
  </si>
  <si>
    <t>1.7353473594994284e-05</t>
  </si>
  <si>
    <t>0.9767444133758545</t>
  </si>
  <si>
    <t>C22</t>
  </si>
  <si>
    <t>Robot Platform Hardware</t>
  </si>
  <si>
    <t>0.7567533850669861</t>
  </si>
  <si>
    <t>0.23086728155612946</t>
  </si>
  <si>
    <t>0.012379315681755543</t>
  </si>
  <si>
    <t>C23</t>
  </si>
  <si>
    <t>Slotting &amp; Layout Model Store</t>
  </si>
  <si>
    <t>0.7532274723052979</t>
  </si>
  <si>
    <t>0.20821809768676758</t>
  </si>
  <si>
    <t>0.038554396480321884</t>
  </si>
  <si>
    <t>C24</t>
  </si>
  <si>
    <t>Zone Safety Controller</t>
  </si>
  <si>
    <t>0.021494701227525653</t>
  </si>
  <si>
    <t>0.14331256763475766</t>
  </si>
  <si>
    <t>2.293185419333099e-09</t>
  </si>
  <si>
    <t>C25</t>
  </si>
  <si>
    <t>Configuration Store</t>
  </si>
  <si>
    <t>0.10398495197296143</t>
  </si>
  <si>
    <t>0.5282981395721436</t>
  </si>
  <si>
    <t>C26</t>
  </si>
  <si>
    <t>Exception Handling Service</t>
  </si>
  <si>
    <t>0.023492699736525513</t>
  </si>
  <si>
    <t>0.17560835752428056</t>
  </si>
  <si>
    <t>5.471509822996268e-08</t>
  </si>
  <si>
    <t>0.023281967267394066</t>
  </si>
  <si>
    <t>C27</t>
  </si>
  <si>
    <t>Monitoring Service</t>
  </si>
  <si>
    <t>0.1317062681432104</t>
  </si>
  <si>
    <t>8.927079306886299e-07</t>
  </si>
  <si>
    <t>0.9618567824363708</t>
  </si>
  <si>
    <t>C28</t>
  </si>
  <si>
    <t>Motor Drivers</t>
  </si>
  <si>
    <t>0.10689143341815098</t>
  </si>
  <si>
    <t>0.9695904850959778</t>
  </si>
  <si>
    <t>0.028287477791309357</t>
  </si>
  <si>
    <t>C29</t>
  </si>
  <si>
    <t>E-stop Chain</t>
  </si>
  <si>
    <t>C30</t>
  </si>
  <si>
    <t>Docking/Charging Stations</t>
  </si>
  <si>
    <t>0.015717361518888237</t>
  </si>
  <si>
    <t>0.14222273822308654</t>
  </si>
  <si>
    <t>0.021279683336615562</t>
  </si>
  <si>
    <t>0.9782756567001343</t>
  </si>
  <si>
    <t>C31</t>
  </si>
  <si>
    <t>Order Ingestion Adapter</t>
  </si>
  <si>
    <t>0.014012618748810938</t>
  </si>
  <si>
    <t>0.9568840265274048</t>
  </si>
  <si>
    <t>C32</t>
  </si>
  <si>
    <t>Task Decomposition Engine</t>
  </si>
  <si>
    <t>0.14611164122137404</t>
  </si>
  <si>
    <t>2.8396289053489454e-06</t>
  </si>
  <si>
    <t>C33</t>
  </si>
  <si>
    <t>Task Allocator/Optimizer</t>
  </si>
  <si>
    <t>0.17651796344281812</t>
  </si>
  <si>
    <t>1.7746480807545595e-05</t>
  </si>
  <si>
    <t>0.16139110922813416</t>
  </si>
  <si>
    <t>0.8385912179946899</t>
  </si>
  <si>
    <t>C34</t>
  </si>
  <si>
    <t>External WMS/ERP Systems</t>
  </si>
  <si>
    <t>0.8836856484413147</t>
  </si>
  <si>
    <t>C35</t>
  </si>
  <si>
    <t>Inventory State Store</t>
  </si>
  <si>
    <t>0.16550699182598122</t>
  </si>
  <si>
    <t>3.7288458543116576e-07</t>
  </si>
  <si>
    <t>0.9435669183731079</t>
  </si>
  <si>
    <t>C36</t>
  </si>
  <si>
    <t>Workflow Orchestrator</t>
  </si>
  <si>
    <t>0.19790783149561775</t>
  </si>
  <si>
    <t>2.485268392991846e-13</t>
  </si>
  <si>
    <t>0.9994816184043884</t>
  </si>
  <si>
    <t>C37</t>
  </si>
  <si>
    <t>Robot Firmware</t>
  </si>
  <si>
    <t>0.15454183144792913</t>
  </si>
  <si>
    <t>0.20631994307041168</t>
  </si>
  <si>
    <t>0.7850677967071533</t>
  </si>
  <si>
    <t>C38</t>
  </si>
  <si>
    <t>Monitoring System</t>
  </si>
  <si>
    <t>0.11521232344471363</t>
  </si>
  <si>
    <t>0.9650909304618835</t>
  </si>
  <si>
    <t>0.034522879868745804</t>
  </si>
  <si>
    <t>C39</t>
  </si>
  <si>
    <t>HMI Console</t>
  </si>
  <si>
    <t>0.18891202097308968</t>
  </si>
  <si>
    <t>3.629911302094335e-11</t>
  </si>
  <si>
    <t>0.9969021081924438</t>
  </si>
  <si>
    <t>C40</t>
  </si>
  <si>
    <t>Robots</t>
  </si>
  <si>
    <t>0.041390327230021895</t>
  </si>
  <si>
    <t>0.13217166131686134</t>
  </si>
  <si>
    <t>3.3047170290956274e-05</t>
  </si>
  <si>
    <t>0.9290353655815125</t>
  </si>
  <si>
    <t>C41</t>
  </si>
  <si>
    <t>Facility Electrical System</t>
  </si>
  <si>
    <t>0.9518073797225952</t>
  </si>
  <si>
    <t>0.026691576465964317</t>
  </si>
  <si>
    <t>0.021500980481505394</t>
  </si>
  <si>
    <t>C42</t>
  </si>
  <si>
    <t>Edge Controllers</t>
  </si>
  <si>
    <t>C43</t>
  </si>
  <si>
    <t>Safety Zone Status Topic</t>
  </si>
  <si>
    <t>0.6110361218452454</t>
  </si>
  <si>
    <t>0.12032493948936462</t>
  </si>
  <si>
    <t>C44</t>
  </si>
  <si>
    <t>Plan Route API Endpoint</t>
  </si>
  <si>
    <t>0.1278435748522736</t>
  </si>
  <si>
    <t>0.44546085596084595</t>
  </si>
  <si>
    <t>0.1459689885377884</t>
  </si>
  <si>
    <t>0.4085701107978821</t>
  </si>
  <si>
    <t>C45</t>
  </si>
  <si>
    <t>O3 â€“ Task Allocator/Optimizer</t>
  </si>
  <si>
    <t>0.24262851476669312</t>
  </si>
  <si>
    <t>0.7572465538978577</t>
  </si>
  <si>
    <t>C46</t>
  </si>
  <si>
    <t>O4 â€“ Inventory State Store</t>
  </si>
  <si>
    <t>0.017721919725736526</t>
  </si>
  <si>
    <t>0.1255187253445361</t>
  </si>
  <si>
    <t>4.4337011786410585e-05</t>
  </si>
  <si>
    <t>0.10577920079231262</t>
  </si>
  <si>
    <t>0.8941764235496521</t>
  </si>
  <si>
    <t>C47</t>
  </si>
  <si>
    <t>O5 â€“ Workflow Orchestrator</t>
  </si>
  <si>
    <t>0.12679518695820935</t>
  </si>
  <si>
    <t>0.13020138442516327</t>
  </si>
  <si>
    <t>0.8695200085639954</t>
  </si>
  <si>
    <t>C48</t>
  </si>
  <si>
    <t>O6 â€“ Slotting &amp; Layout Model Store</t>
  </si>
  <si>
    <t>0.015267175572519083</t>
  </si>
  <si>
    <t>0.23283645510673523</t>
  </si>
  <si>
    <t>0.020761704072356224</t>
  </si>
  <si>
    <t>C49</t>
  </si>
  <si>
    <t>O7 â€“ WMS/ERP Interface Gateway</t>
  </si>
  <si>
    <t>0.014156716904808509</t>
  </si>
  <si>
    <t>0.1226379677136779</t>
  </si>
  <si>
    <t>0.3703922629356384</t>
  </si>
  <si>
    <t>0.6252492070198059</t>
  </si>
  <si>
    <t>C50</t>
  </si>
  <si>
    <t>O8 â€“ Exception Handling Service</t>
  </si>
  <si>
    <t>0.8855757117271423</t>
  </si>
  <si>
    <t>C51</t>
  </si>
  <si>
    <t>Fleet Supervisor</t>
  </si>
  <si>
    <t>0.056207097672072985</t>
  </si>
  <si>
    <t>0.16624257845631893</t>
  </si>
  <si>
    <t>5.5247260759283545e-12</t>
  </si>
  <si>
    <t>0.9985664486885071</t>
  </si>
  <si>
    <t>C52</t>
  </si>
  <si>
    <t>Robots/HMI</t>
  </si>
  <si>
    <t>0.7220504879951477</t>
  </si>
  <si>
    <t>0.20699995756149292</t>
  </si>
  <si>
    <t>C53</t>
  </si>
  <si>
    <t>Path Planning Service</t>
  </si>
  <si>
    <t>0.12183902329860506</t>
  </si>
  <si>
    <t>0.48548170924186707</t>
  </si>
  <si>
    <t>0.5105074644088745</t>
  </si>
  <si>
    <t>C54</t>
  </si>
  <si>
    <t>Admin Tools / HMI</t>
  </si>
  <si>
    <t>0.24152065813541412</t>
  </si>
  <si>
    <t>0.012020403519272804</t>
  </si>
  <si>
    <t>C55</t>
  </si>
  <si>
    <t>CAD System</t>
  </si>
  <si>
    <t>C56</t>
  </si>
  <si>
    <t>Order Ingestion Service</t>
  </si>
  <si>
    <t>0.10289014981426298</t>
  </si>
  <si>
    <t>0.012594696134328842</t>
  </si>
  <si>
    <t>0.6238755583763123</t>
  </si>
  <si>
    <t>0.3635298013687134</t>
  </si>
  <si>
    <t>C57</t>
  </si>
  <si>
    <t>RBAC Service</t>
  </si>
  <si>
    <t>0.010344490115482483</t>
  </si>
  <si>
    <t>0.26265662908554077</t>
  </si>
  <si>
    <t>0.7370071411132812</t>
  </si>
  <si>
    <t>C58</t>
  </si>
  <si>
    <t>ERP</t>
  </si>
  <si>
    <t>0.29728904366493225</t>
  </si>
  <si>
    <t>0.7025033831596375</t>
  </si>
  <si>
    <t>C59</t>
  </si>
  <si>
    <t>Fixed Safety Lidar Grid</t>
  </si>
  <si>
    <t>0.13910910487174988</t>
  </si>
  <si>
    <t>0.6891029477119446</t>
  </si>
  <si>
    <t>0.17178797721862793</t>
  </si>
  <si>
    <t>C60</t>
  </si>
  <si>
    <t>Facility Infrastructure</t>
  </si>
  <si>
    <t>0.23761533200740814</t>
  </si>
  <si>
    <t>0.014327180571854115</t>
  </si>
  <si>
    <t>C61</t>
  </si>
  <si>
    <t>E-stop Circuits</t>
  </si>
  <si>
    <t>0.6322529911994934</t>
  </si>
  <si>
    <t>0.3061709702014923</t>
  </si>
  <si>
    <t>C62</t>
  </si>
  <si>
    <t>Obstacle &amp; Incident Event Bus</t>
  </si>
  <si>
    <t>0.028181306046146642</t>
  </si>
  <si>
    <t>0.1490222316839512</t>
  </si>
  <si>
    <t>8.281488408101723e-05</t>
  </si>
  <si>
    <t>0.059254322201013565</t>
  </si>
  <si>
    <t>0.9406629204750061</t>
  </si>
  <si>
    <t>C63</t>
  </si>
  <si>
    <t>Robots Onboard Perception</t>
  </si>
  <si>
    <t>0.8827271461486816</t>
  </si>
  <si>
    <t>0.033604878932237625</t>
  </si>
  <si>
    <t>C64</t>
  </si>
  <si>
    <t>Data Warehouse</t>
  </si>
  <si>
    <t>0.12366412213740459</t>
  </si>
  <si>
    <t>0.8259997963905334</t>
  </si>
  <si>
    <t>C65</t>
  </si>
  <si>
    <t>Schema Registry</t>
  </si>
  <si>
    <t>0.7431235909461975</t>
  </si>
  <si>
    <t>0.24843530356884003</t>
  </si>
  <si>
    <t>C66</t>
  </si>
  <si>
    <t>S4 â€“ Humanâ€“Machine Interface (HMI) Console</t>
  </si>
  <si>
    <t>5.089738053243309e-08</t>
  </si>
  <si>
    <t>0.9911802411079407</t>
  </si>
  <si>
    <t>C67</t>
  </si>
  <si>
    <t>Safety Controller</t>
  </si>
  <si>
    <t>0.11876825935350109</t>
  </si>
  <si>
    <t>0.13447299599647522</t>
  </si>
  <si>
    <t>0.8653350472450256</t>
  </si>
  <si>
    <t>C68</t>
  </si>
  <si>
    <t>S5 â€“ Role-Based Access Control (RBAC) Service</t>
  </si>
  <si>
    <t>3.826037755061407e-06</t>
  </si>
  <si>
    <t>0.017265520989894867</t>
  </si>
  <si>
    <t>0.9827306866645813</t>
  </si>
  <si>
    <t>C69</t>
  </si>
  <si>
    <t>Corporate Identity Provider / LDAP/AD</t>
  </si>
  <si>
    <t>0.013740458015267175</t>
  </si>
  <si>
    <t>0.5268977880477905</t>
  </si>
  <si>
    <t>0.2778489887714386</t>
  </si>
  <si>
    <t>0.19525320827960968</t>
  </si>
  <si>
    <t>C70</t>
  </si>
  <si>
    <t>WMS/ERP Gateway</t>
  </si>
  <si>
    <t>0.021491543182158353</t>
  </si>
  <si>
    <t>0.14441922838869406</t>
  </si>
  <si>
    <t>9.813776159717236e-06</t>
  </si>
  <si>
    <t>0.9257344007492065</t>
  </si>
  <si>
    <t>C71</t>
  </si>
  <si>
    <t>WMS/ERP System</t>
  </si>
  <si>
    <t>0.11509101585437465</t>
  </si>
  <si>
    <t>0.32904931902885437</t>
  </si>
  <si>
    <t>0.6699260473251343</t>
  </si>
  <si>
    <t>C72</t>
  </si>
  <si>
    <t>S6 â€“ Training &amp; Simulation Station</t>
  </si>
  <si>
    <t>0.5819392204284668</t>
  </si>
  <si>
    <t>0.2343166172504425</t>
  </si>
  <si>
    <t>0.1837441325187683</t>
  </si>
  <si>
    <t>C73</t>
  </si>
  <si>
    <t>Simulation/Test Harness</t>
  </si>
  <si>
    <t>0.7254607677459717</t>
  </si>
  <si>
    <t>0.18380948901176453</t>
  </si>
  <si>
    <t>C74</t>
  </si>
  <si>
    <t>Audit Log Store</t>
  </si>
  <si>
    <t>0.7537657022476196</t>
  </si>
  <si>
    <t>0.2051212638616562</t>
  </si>
  <si>
    <t>C75</t>
  </si>
  <si>
    <t>I1 â€“ Message Broker</t>
  </si>
  <si>
    <t>4.0731865169618686e-07</t>
  </si>
  <si>
    <t>0.9325397610664368</t>
  </si>
  <si>
    <t>C76</t>
  </si>
  <si>
    <t>I2 â€“ API Gateway</t>
  </si>
  <si>
    <t>4.6967448952273116e-07</t>
  </si>
  <si>
    <t>0.021411407738924026</t>
  </si>
  <si>
    <t>0.9785881042480469</t>
  </si>
  <si>
    <t>C77</t>
  </si>
  <si>
    <t>I3 â€“ Configuration &amp; Feature Flag Store</t>
  </si>
  <si>
    <t>C78</t>
  </si>
  <si>
    <t>Operators</t>
  </si>
  <si>
    <t>0.017448200654307522</t>
  </si>
  <si>
    <t>0.22288908064365387</t>
  </si>
  <si>
    <t>0.7762665748596191</t>
  </si>
  <si>
    <t>C79</t>
  </si>
  <si>
    <t>API Gateway &amp; Ingress Service</t>
  </si>
  <si>
    <t>0.029144646701898612</t>
  </si>
  <si>
    <t>0.10275983558426308</t>
  </si>
  <si>
    <t>3.7558354961220175e-05</t>
  </si>
  <si>
    <t>0.023195907473564148</t>
  </si>
  <si>
    <t>0.9767665863037109</t>
  </si>
  <si>
    <t>C80</t>
  </si>
  <si>
    <t>WMS/ERP Systems</t>
  </si>
  <si>
    <t>0.11403835412399925</t>
  </si>
  <si>
    <t>0.35613393783569336</t>
  </si>
  <si>
    <t>0.6435347199440002</t>
  </si>
  <si>
    <t>C81</t>
  </si>
  <si>
    <t>HMI Console/Browsers</t>
  </si>
  <si>
    <t>0.5335071682929993</t>
  </si>
  <si>
    <t>0.3729669153690338</t>
  </si>
  <si>
    <t>C82</t>
  </si>
  <si>
    <t>Internal Application Services</t>
  </si>
  <si>
    <t>0.2337440699338913</t>
  </si>
  <si>
    <t>0.5313340425491333</t>
  </si>
  <si>
    <t>0.23492194712162018</t>
  </si>
  <si>
    <t>C83</t>
  </si>
  <si>
    <t>Monitoring APIs</t>
  </si>
  <si>
    <t>0.7985480427742004</t>
  </si>
  <si>
    <t>0.13739509880542755</t>
  </si>
  <si>
    <t>C84</t>
  </si>
  <si>
    <t>Configuration &amp; Feature Flag Store</t>
  </si>
  <si>
    <t>0.052725888788700104</t>
  </si>
  <si>
    <t>0.9464417099952698</t>
  </si>
  <si>
    <t>C85</t>
  </si>
  <si>
    <t>Admin Tools</t>
  </si>
  <si>
    <t>0.7337643504142761</t>
  </si>
  <si>
    <t>0.1935977190732956</t>
  </si>
  <si>
    <t>C86</t>
  </si>
  <si>
    <t>CI/CD Pipelines</t>
  </si>
  <si>
    <t>C87</t>
  </si>
  <si>
    <t>Metrics &amp; Logging Pipeline</t>
  </si>
  <si>
    <t>0.2823554277420044</t>
  </si>
  <si>
    <t>0.021213706582784653</t>
  </si>
  <si>
    <t>0.6964309215545654</t>
  </si>
  <si>
    <t>C88</t>
  </si>
  <si>
    <t>Infrastructure Platform</t>
  </si>
  <si>
    <t>0.9232996106147766</t>
  </si>
  <si>
    <t>C89</t>
  </si>
  <si>
    <t>System Health Dashboard</t>
  </si>
  <si>
    <t>0.018406733215893523</t>
  </si>
  <si>
    <t>0.3102821409702301</t>
  </si>
  <si>
    <t>0.20428742468357086</t>
  </si>
  <si>
    <t>C90</t>
  </si>
  <si>
    <t>Alerting Tools</t>
  </si>
  <si>
    <t>0.015407579019665718</t>
  </si>
  <si>
    <t>C91</t>
  </si>
  <si>
    <t>Reporting Service</t>
  </si>
  <si>
    <t>C92</t>
  </si>
  <si>
    <t>On-call Systems</t>
  </si>
  <si>
    <t>0.9599865078926086</t>
  </si>
  <si>
    <t>0.018198857083916664</t>
  </si>
  <si>
    <t>0.021814700216054916</t>
  </si>
  <si>
    <t>C93</t>
  </si>
  <si>
    <t>Time Sync Service</t>
  </si>
  <si>
    <t>2.6622974473866634e-05</t>
  </si>
  <si>
    <t>0.8846778869628906</t>
  </si>
  <si>
    <t>C94</t>
  </si>
  <si>
    <t>External Time Sources (NTP/PTP/GPS)</t>
  </si>
  <si>
    <t>0.7335384488105774</t>
  </si>
  <si>
    <t>0.22570808231830597</t>
  </si>
  <si>
    <t>C95</t>
  </si>
  <si>
    <t>Message Broker</t>
  </si>
  <si>
    <t>0.1539283133854805</t>
  </si>
  <si>
    <t>2.2077445009927033e-06</t>
  </si>
  <si>
    <t>0.16211222112178802</t>
  </si>
  <si>
    <t>0.8378855586051941</t>
  </si>
  <si>
    <t>C96</t>
  </si>
  <si>
    <t>Operational Databases</t>
  </si>
  <si>
    <t>0.7336766123771667</t>
  </si>
  <si>
    <t>0.22679433226585388</t>
  </si>
  <si>
    <t>0.039529044181108475</t>
  </si>
  <si>
    <t>C97</t>
  </si>
  <si>
    <t>Historical Data Warehouse</t>
  </si>
  <si>
    <t>0.010796499937721311</t>
  </si>
  <si>
    <t>0.1516188470650171</t>
  </si>
  <si>
    <t>0.038653887808322906</t>
  </si>
  <si>
    <t>0.8823291063308716</t>
  </si>
  <si>
    <t>C98</t>
  </si>
  <si>
    <t>Inventory CDC Pipeline</t>
  </si>
  <si>
    <t>0.7055943608283997</t>
  </si>
  <si>
    <t>0.24142225086688995</t>
  </si>
  <si>
    <t>C99</t>
  </si>
  <si>
    <t>BI Tools</t>
  </si>
  <si>
    <t>0.12855967454404169</t>
  </si>
  <si>
    <t>0.12502208352088928</t>
  </si>
  <si>
    <t>0.6610010862350464</t>
  </si>
  <si>
    <t>0.21397683024406433</t>
  </si>
  <si>
    <t>C100</t>
  </si>
  <si>
    <t>Optimization Model Training Pipeline</t>
  </si>
  <si>
    <t>0.12179457878136857</t>
  </si>
  <si>
    <t>0.8575367331504822</t>
  </si>
  <si>
    <t>0.021121328696608543</t>
  </si>
  <si>
    <t>0.12134191393852234</t>
  </si>
  <si>
    <t>C101</t>
  </si>
  <si>
    <t>Simulation Station</t>
  </si>
  <si>
    <t>C102</t>
  </si>
  <si>
    <t>Edge Compute Nodes</t>
  </si>
  <si>
    <t>0.14009206049689796</t>
  </si>
  <si>
    <t>0.9986962676048279</t>
  </si>
  <si>
    <t>C103</t>
  </si>
  <si>
    <t>Localization Service</t>
  </si>
  <si>
    <t>0.11590637358594684</t>
  </si>
  <si>
    <t>0.45225727558135986</t>
  </si>
  <si>
    <t>0.41195470094680786</t>
  </si>
  <si>
    <t>0.13578800857067108</t>
  </si>
  <si>
    <t>C104</t>
  </si>
  <si>
    <t>Metrics Pipeline</t>
  </si>
  <si>
    <t>0.7498277425765991</t>
  </si>
  <si>
    <t>0.21827425062656403</t>
  </si>
  <si>
    <t>C105</t>
  </si>
  <si>
    <t>Training Datasets for Optimization Models</t>
  </si>
  <si>
    <t>0.10350989647067965</t>
  </si>
  <si>
    <t>C106</t>
  </si>
  <si>
    <t>Facility Power</t>
  </si>
  <si>
    <t>0.11384886399566375</t>
  </si>
  <si>
    <t>0.8703922629356384</t>
  </si>
  <si>
    <t>0.11167863756418228</t>
  </si>
  <si>
    <t>C107</t>
  </si>
  <si>
    <t>Facility Network</t>
  </si>
  <si>
    <t>C108</t>
  </si>
  <si>
    <t>Config Store</t>
  </si>
  <si>
    <t>0.3025943636894226</t>
  </si>
  <si>
    <t>C109</t>
  </si>
  <si>
    <t>Mapping Service</t>
  </si>
  <si>
    <t>0.8525727391242981</t>
  </si>
  <si>
    <t>C110</t>
  </si>
  <si>
    <t>Sensors</t>
  </si>
  <si>
    <t>C111</t>
  </si>
  <si>
    <t>Backup &amp; Recovery Service</t>
  </si>
  <si>
    <t>0.5309144854545593</t>
  </si>
  <si>
    <t>C112</t>
  </si>
  <si>
    <t>Layout Data Store</t>
  </si>
  <si>
    <t>0.7484665513038635</t>
  </si>
  <si>
    <t>0.23715610802173615</t>
  </si>
  <si>
    <t>0.014377342537045479</t>
  </si>
  <si>
    <t>C113</t>
  </si>
  <si>
    <t>Warehouse Data Store</t>
  </si>
  <si>
    <t>C114</t>
  </si>
  <si>
    <t>Training &amp; Simulation Station</t>
  </si>
  <si>
    <t>C115</t>
  </si>
  <si>
    <t>CI Pipelines</t>
  </si>
  <si>
    <t>C116</t>
  </si>
  <si>
    <t>orders.raw Topic</t>
  </si>
  <si>
    <t>0.9663532376289368</t>
  </si>
  <si>
    <t>0.010859536938369274</t>
  </si>
  <si>
    <t>C117</t>
  </si>
  <si>
    <t>orders.normalized Topic</t>
  </si>
  <si>
    <t>0.12294222373972637</t>
  </si>
  <si>
    <t>0.021348411217331886</t>
  </si>
  <si>
    <t>0.5553398132324219</t>
  </si>
  <si>
    <t>0.42331185936927795</t>
  </si>
  <si>
    <t>C118</t>
  </si>
  <si>
    <t>tasks.generated Topic</t>
  </si>
  <si>
    <t>0.1596718507491052</t>
  </si>
  <si>
    <t>1.5282552340067923e-05</t>
  </si>
  <si>
    <t>0.23206186294555664</t>
  </si>
  <si>
    <t>0.7679228782653809</t>
  </si>
  <si>
    <t>C119</t>
  </si>
  <si>
    <t>Task Allocator</t>
  </si>
  <si>
    <t>6.13437464380695e-07</t>
  </si>
  <si>
    <t>0.9015039801597595</t>
  </si>
  <si>
    <t>C120</t>
  </si>
  <si>
    <t>Onboard Perception</t>
  </si>
  <si>
    <t>0.10779417911432783</t>
  </si>
  <si>
    <t>0.4762312173843384</t>
  </si>
  <si>
    <t>0.5217729210853577</t>
  </si>
  <si>
    <t>C121</t>
  </si>
  <si>
    <t>Fixed Safety Lidar</t>
  </si>
  <si>
    <t>C122</t>
  </si>
  <si>
    <t>HMI</t>
  </si>
  <si>
    <t>0.11473797592844097</t>
  </si>
  <si>
    <t>0.3636355996131897</t>
  </si>
  <si>
    <t>0.6362168192863464</t>
  </si>
  <si>
    <t>C123</t>
  </si>
  <si>
    <t>API Gateway</t>
  </si>
  <si>
    <t>0.1427655731018006</t>
  </si>
  <si>
    <t>5.5946999054867774e-05</t>
  </si>
  <si>
    <t>0.20249775052070618</t>
  </si>
  <si>
    <t>0.7974463105201721</t>
  </si>
  <si>
    <t>C124</t>
  </si>
  <si>
    <t>Robot Fleet</t>
  </si>
  <si>
    <t>2.409359240118647e-06</t>
  </si>
  <si>
    <t>0.14227131009101868</t>
  </si>
  <si>
    <t>0.8577263355255127</t>
  </si>
  <si>
    <t>C125</t>
  </si>
  <si>
    <t>Path Planning</t>
  </si>
  <si>
    <t>0.7368863224983215</t>
  </si>
  <si>
    <t>0.1938200443983078</t>
  </si>
  <si>
    <t>C126</t>
  </si>
  <si>
    <t>Localization</t>
  </si>
  <si>
    <t>C127</t>
  </si>
  <si>
    <t>Warehouse Inventory Store</t>
  </si>
  <si>
    <t>0.7265598773956299</t>
  </si>
  <si>
    <t>0.2318824678659439</t>
  </si>
  <si>
    <t>C128</t>
  </si>
  <si>
    <t>WMS/ERP Interface Gateway</t>
  </si>
  <si>
    <t>0.013570822731128073</t>
  </si>
  <si>
    <t>0.7486132383346558</t>
  </si>
  <si>
    <t>0.23390962183475494</t>
  </si>
  <si>
    <t>0.017477136105298996</t>
  </si>
  <si>
    <t>C129</t>
  </si>
  <si>
    <t>CDC Streams</t>
  </si>
  <si>
    <t>0.013631406761177755</t>
  </si>
  <si>
    <t>0.7397051453590393</t>
  </si>
  <si>
    <t>0.24977070093154907</t>
  </si>
  <si>
    <t>0.010524148121476173</t>
  </si>
  <si>
    <t>C130</t>
  </si>
  <si>
    <t>Warehouse Management System (WMS)</t>
  </si>
  <si>
    <t>C131</t>
  </si>
  <si>
    <t>ERP System</t>
  </si>
  <si>
    <t>0.7371448874473572</t>
  </si>
  <si>
    <t>0.2507725954055786</t>
  </si>
  <si>
    <t>0.012082518078386784</t>
  </si>
  <si>
    <t>C132</t>
  </si>
  <si>
    <t>Production Environment</t>
  </si>
  <si>
    <t>alignment</t>
  </si>
  <si>
    <t>Row Labels</t>
  </si>
  <si>
    <t>Agreement</t>
  </si>
  <si>
    <t>Disagreement</t>
  </si>
  <si>
    <t>Grand Total</t>
  </si>
  <si>
    <t>Count of Id</t>
  </si>
  <si>
    <t>Agreement Rate</t>
  </si>
  <si>
    <t>Column Labels</t>
  </si>
  <si>
    <t>risk_sme</t>
  </si>
  <si>
    <t>sme_reason</t>
  </si>
  <si>
    <t>Bridges external enterprise systems, but failure mainly affects planning latency rather than safety.</t>
  </si>
  <si>
    <t>Exception routing affects system resiliency but does not directly control safety-critical actions.</t>
  </si>
  <si>
    <t>Hosts critical compute but typically has redundancy at the infrastructure layer, reducing integration fragility.</t>
  </si>
  <si>
    <t>User-facing interface with many dependencies, but not safety-critical and failures are operationally degraded rather than catastrophic.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</si>
</sst>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6" fillId="2" borderId="0" xfId="0" applyFont="1" applyFill="1"/>
    <xf numFmtId="0" fontId="8" fillId="4" borderId="0" xfId="0" applyFont="1" applyFill="1"/>
    <xf numFmtId="0" fontId="7" fillId="3" borderId="0" xfId="0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Aptos Narrow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is Wilson" refreshedDate="45998.996781712965" createdVersion="8" refreshedVersion="8" minRefreshableVersion="3" recordCount="133" xr:uid="{551A39D1-7AF8-4D9A-A1F3-1541F3570DF3}">
  <cacheSource type="worksheet">
    <worksheetSource ref="A1:M1048576" sheet="warehouse_gnn_gephi_nodes"/>
  </cacheSource>
  <cacheFields count="13">
    <cacheField name="Id" numFmtId="0">
      <sharedItems containsBlank="1"/>
    </cacheField>
    <cacheField name="Label" numFmtId="0">
      <sharedItems containsBlank="1"/>
    </cacheField>
    <cacheField name="risk_heuristic" numFmtId="0">
      <sharedItems containsBlank="1" count="4">
        <s v="medium"/>
        <s v="high"/>
        <s v="low"/>
        <m/>
      </sharedItems>
    </cacheField>
    <cacheField name="risk_gnn" numFmtId="0">
      <sharedItems containsBlank="1" count="4">
        <s v="low"/>
        <s v="high"/>
        <s v="medium"/>
        <m/>
      </sharedItems>
    </cacheField>
    <cacheField name="degree" numFmtId="0">
      <sharedItems containsString="0" containsBlank="1" containsNumber="1" containsInteger="1" minValue="0" maxValue="15"/>
    </cacheField>
    <cacheField name="betweenness" numFmtId="0">
      <sharedItems containsBlank="1" containsMixedTypes="1" containsNumber="1" minValue="0" maxValue="8.7336414000000001E-2"/>
    </cacheField>
    <cacheField name="closeness" numFmtId="0">
      <sharedItems containsBlank="1" containsMixedTypes="1" containsNumber="1" minValue="0" maxValue="9.6443398999999999E-2"/>
    </cacheField>
    <cacheField name="score_low" numFmtId="0">
      <sharedItems containsBlank="1" containsMixedTypes="1" containsNumber="1" minValue="1.2491800000000001E-4" maxValue="0.96103197299999998"/>
    </cacheField>
    <cacheField name="score_medium" numFmtId="0">
      <sharedItems containsBlank="1" containsMixedTypes="1" containsNumber="1" minValue="3.8619499999999998E-4" maxValue="0.40060278799999999"/>
    </cacheField>
    <cacheField name="score_high" numFmtId="0">
      <sharedItems containsBlank="1" containsMixedTypes="1" containsNumber="1" minValue="8.4411E-3" maxValue="0.98782002899999999"/>
    </cacheField>
    <cacheField name="risk_heuristic_score" numFmtId="0">
      <sharedItems containsString="0" containsBlank="1" containsNumber="1" containsInteger="1" minValue="1" maxValue="3"/>
    </cacheField>
    <cacheField name="risk_gnn_score" numFmtId="0">
      <sharedItems containsString="0" containsBlank="1" containsNumber="1" containsInteger="1" minValue="1" maxValue="3"/>
    </cacheField>
    <cacheField name="alignment" numFmtId="0">
      <sharedItems containsBlank="1" count="3">
        <s v="Disagreement"/>
        <s v="Agreemen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s v="C1"/>
    <s v="Autonomous Vehicle Fleet Subsystem"/>
    <x v="0"/>
    <x v="0"/>
    <n v="3"/>
    <n v="2.671756E-3"/>
    <s v="0.11859880266174082"/>
    <n v="0.835537851"/>
    <s v="0.025252530351281166"/>
    <s v="0.1392095685005188"/>
    <n v="2"/>
    <n v="1"/>
    <x v="0"/>
  </r>
  <r>
    <s v="C2"/>
    <s v="Warehouse Orchestration Subsystem"/>
    <x v="0"/>
    <x v="1"/>
    <n v="4"/>
    <n v="6.0187900000000004E-3"/>
    <s v="0.14602405566040394"/>
    <s v="0.12378310412168503"/>
    <s v="0.2552214562892914"/>
    <s v="0.6209954619407654"/>
    <n v="2"/>
    <n v="3"/>
    <x v="0"/>
  </r>
  <r>
    <s v="C3"/>
    <s v="Perception, Safety &amp; Access Control Subsystem"/>
    <x v="0"/>
    <x v="0"/>
    <n v="3"/>
    <n v="1.1744E-4"/>
    <n v="7.6335880000000002E-3"/>
    <n v="0.73669725699999999"/>
    <s v="0.2495560497045517"/>
    <s v="0.013746757991611958"/>
    <n v="2"/>
    <n v="1"/>
    <x v="0"/>
  </r>
  <r>
    <s v="C4"/>
    <s v="Infrastructure &amp; Data Services Subsystem"/>
    <x v="0"/>
    <x v="0"/>
    <n v="3"/>
    <n v="0"/>
    <n v="0"/>
    <s v="0.7470021843910217"/>
    <s v="0.16203631460666656"/>
    <n v="9.0961494000000004E-2"/>
    <n v="2"/>
    <n v="1"/>
    <x v="0"/>
  </r>
  <r>
    <s v="C5"/>
    <s v="External WMS/ERP System"/>
    <x v="0"/>
    <x v="2"/>
    <n v="4"/>
    <n v="4.9500880000000001E-3"/>
    <s v="0.10304292053077618"/>
    <s v="0.024639416486024857"/>
    <s v="0.5832459926605225"/>
    <s v="0.3921146094799042"/>
    <n v="2"/>
    <n v="2"/>
    <x v="1"/>
  </r>
  <r>
    <s v="C6"/>
    <s v="Robot Platform Hardware (F1)"/>
    <x v="1"/>
    <x v="1"/>
    <n v="10"/>
    <s v="0.026776277157956548"/>
    <s v="0.15256610053091732"/>
    <s v="0.12837481498718262"/>
    <s v="1.1153897561968183e-14"/>
    <s v="0.8716251850128174"/>
    <n v="3"/>
    <n v="3"/>
    <x v="1"/>
  </r>
  <r>
    <s v="C7"/>
    <s v="Robot Firmware Controller (F2)"/>
    <x v="2"/>
    <x v="0"/>
    <n v="1"/>
    <n v="0"/>
    <n v="0"/>
    <s v="0.9454707503318787"/>
    <s v="5.79662446398288e-05"/>
    <s v="0.054471250623464584"/>
    <n v="1"/>
    <n v="1"/>
    <x v="1"/>
  </r>
  <r>
    <s v="C8"/>
    <s v="Fleet Supervisor Service"/>
    <x v="1"/>
    <x v="1"/>
    <n v="12"/>
    <n v="8.3886050000000004E-2"/>
    <s v="0.17237133710908642"/>
    <s v="1.7440170267946087e-05"/>
    <s v="0.011313896626234055"/>
    <s v="0.9886686205863953"/>
    <n v="3"/>
    <n v="3"/>
    <x v="1"/>
  </r>
  <r>
    <s v="C9"/>
    <s v="Onboard Perception Module"/>
    <x v="2"/>
    <x v="0"/>
    <n v="1"/>
    <n v="0"/>
    <s v="0.12365995077795854"/>
    <s v="0.9139474034309387"/>
    <s v="3.0688272545376094e-06"/>
    <n v="8.6049527000000001E-2"/>
    <n v="1"/>
    <n v="1"/>
    <x v="1"/>
  </r>
  <r>
    <s v="C10"/>
    <s v="Localization Module"/>
    <x v="2"/>
    <x v="0"/>
    <n v="1"/>
    <n v="0"/>
    <s v="0.12365995077795854"/>
    <s v="0.9139474034309387"/>
    <s v="3.0688272545376094e-06"/>
    <n v="8.6049527000000001E-2"/>
    <n v="1"/>
    <n v="1"/>
    <x v="1"/>
  </r>
  <r>
    <s v="C11"/>
    <s v="Backend Monitoring &amp; Logging"/>
    <x v="2"/>
    <x v="0"/>
    <n v="1"/>
    <n v="0"/>
    <s v="0.12365995077795854"/>
    <s v="0.9139474034309387"/>
    <s v="3.0688272545376094e-06"/>
    <n v="8.6049527000000001E-2"/>
    <n v="1"/>
    <n v="1"/>
    <x v="1"/>
  </r>
  <r>
    <s v="C12"/>
    <s v="Warehouse Power &amp; Network Infrastructure"/>
    <x v="2"/>
    <x v="0"/>
    <n v="1"/>
    <n v="0"/>
    <n v="0"/>
    <s v="0.9454707503318787"/>
    <s v="5.79662446398288e-05"/>
    <s v="0.054471250623464584"/>
    <n v="1"/>
    <n v="1"/>
    <x v="1"/>
  </r>
  <r>
    <s v="C13"/>
    <s v="Warehouse Network Link"/>
    <x v="2"/>
    <x v="0"/>
    <n v="1"/>
    <n v="0"/>
    <s v="0.12365995077795854"/>
    <s v="0.9139474034309387"/>
    <s v="3.0688272545376094e-06"/>
    <n v="8.6049527000000001E-2"/>
    <n v="1"/>
    <n v="1"/>
    <x v="1"/>
  </r>
  <r>
    <s v="C14"/>
    <s v="Vehicle CAN Bus"/>
    <x v="2"/>
    <x v="0"/>
    <n v="1"/>
    <n v="0"/>
    <s v="0.12365995077795854"/>
    <s v="0.9139474034309387"/>
    <s v="3.0688272545376094e-06"/>
    <n v="8.6049527000000001E-2"/>
    <n v="1"/>
    <n v="1"/>
    <x v="1"/>
  </r>
  <r>
    <s v="C15"/>
    <s v="Safety Relays &amp; E-Stop Circuit"/>
    <x v="2"/>
    <x v="0"/>
    <n v="1"/>
    <n v="0"/>
    <s v="0.12365995077795854"/>
    <s v="0.9139474034309387"/>
    <s v="3.0688272545376094e-06"/>
    <n v="8.6049527000000001E-2"/>
    <n v="1"/>
    <n v="1"/>
    <x v="1"/>
  </r>
  <r>
    <s v="C16"/>
    <s v="Human Operators"/>
    <x v="2"/>
    <x v="0"/>
    <n v="1"/>
    <n v="0"/>
    <s v="0.010178117048346055"/>
    <s v="0.7368775010108948"/>
    <s v="0.2524203956127167"/>
    <s v="0.010702155530452728"/>
    <n v="1"/>
    <n v="1"/>
    <x v="1"/>
  </r>
  <r>
    <s v="C17"/>
    <s v="Fixed Safety and Perception Sensors"/>
    <x v="2"/>
    <x v="0"/>
    <n v="1"/>
    <n v="0"/>
    <s v="0.010178117048346055"/>
    <s v="0.7368775010108948"/>
    <s v="0.2524203956127167"/>
    <s v="0.010702155530452728"/>
    <n v="1"/>
    <n v="1"/>
    <x v="1"/>
  </r>
  <r>
    <s v="C18"/>
    <s v="Robot Firmware Controller"/>
    <x v="1"/>
    <x v="1"/>
    <n v="7"/>
    <s v="0.014453955713497703"/>
    <s v="0.12942761298502337"/>
    <s v="0.013995514251291752"/>
    <n v="2.3417667E-2"/>
    <s v="0.9625868201255798"/>
    <n v="3"/>
    <n v="3"/>
    <x v="1"/>
  </r>
  <r>
    <s v="C19"/>
    <s v="Onboard Perception Stack"/>
    <x v="0"/>
    <x v="0"/>
    <n v="3"/>
    <n v="4.1691130000000003E-3"/>
    <n v="7.6335880000000002E-3"/>
    <s v="0.7827558517456055"/>
    <s v="0.19919711351394653"/>
    <n v="1.8047033000000001E-2"/>
    <n v="2"/>
    <n v="1"/>
    <x v="0"/>
  </r>
  <r>
    <s v="C20"/>
    <s v="Localization &amp; Mapping Service"/>
    <x v="1"/>
    <x v="0"/>
    <n v="5"/>
    <n v="2.0226021E-2"/>
    <n v="3.4004164000000003E-2"/>
    <s v="0.4040204584598541"/>
    <s v="0.40230366587638855"/>
    <s v="0.1936759054660797"/>
    <n v="3"/>
    <n v="1"/>
    <x v="0"/>
  </r>
  <r>
    <s v="C21"/>
    <s v="Path Planning &amp; Traffic Manager"/>
    <x v="1"/>
    <x v="1"/>
    <n v="11"/>
    <s v="0.057572414862491206"/>
    <s v="0.16262860935944243"/>
    <s v="1.7353473594994284e-05"/>
    <n v="2.3238286E-2"/>
    <s v="0.9767444133758545"/>
    <n v="3"/>
    <n v="3"/>
    <x v="1"/>
  </r>
  <r>
    <s v="C22"/>
    <s v="Robot Platform Hardware"/>
    <x v="2"/>
    <x v="0"/>
    <n v="1"/>
    <n v="0"/>
    <n v="0"/>
    <s v="0.7567533850669861"/>
    <s v="0.23086728155612946"/>
    <s v="0.012379315681755543"/>
    <n v="1"/>
    <n v="1"/>
    <x v="1"/>
  </r>
  <r>
    <s v="C23"/>
    <s v="Slotting &amp; Layout Model Store"/>
    <x v="0"/>
    <x v="0"/>
    <n v="2"/>
    <n v="1.8203169999999999E-3"/>
    <n v="7.6335880000000002E-3"/>
    <s v="0.7532274723052979"/>
    <s v="0.20821809768676758"/>
    <s v="0.038554396480321884"/>
    <n v="2"/>
    <n v="1"/>
    <x v="0"/>
  </r>
  <r>
    <s v="C24"/>
    <s v="Zone Safety Controller"/>
    <x v="1"/>
    <x v="1"/>
    <n v="11"/>
    <s v="0.021494701227525653"/>
    <s v="0.14331256763475766"/>
    <s v="2.293185419333099e-09"/>
    <n v="1.2179966E-2"/>
    <n v="0.98782002899999999"/>
    <n v="3"/>
    <n v="3"/>
    <x v="1"/>
  </r>
  <r>
    <s v="C25"/>
    <s v="Configuration Store"/>
    <x v="0"/>
    <x v="2"/>
    <n v="3"/>
    <n v="0"/>
    <n v="0"/>
    <s v="0.10398495197296143"/>
    <s v="0.5282981395721436"/>
    <n v="0.36771690800000001"/>
    <n v="2"/>
    <n v="2"/>
    <x v="1"/>
  </r>
  <r>
    <s v="C26"/>
    <s v="Exception Handling Service"/>
    <x v="1"/>
    <x v="1"/>
    <n v="10"/>
    <s v="0.023492699736525513"/>
    <s v="0.17560835752428056"/>
    <s v="5.471509822996268e-08"/>
    <s v="0.023281967267394066"/>
    <n v="0.97671800900000005"/>
    <n v="3"/>
    <n v="3"/>
    <x v="1"/>
  </r>
  <r>
    <s v="C27"/>
    <s v="Monitoring Service"/>
    <x v="1"/>
    <x v="1"/>
    <n v="6"/>
    <n v="9.1851759999999998E-3"/>
    <s v="0.1317062681432104"/>
    <s v="8.927079306886299e-07"/>
    <n v="3.8142326999999997E-2"/>
    <s v="0.9618567824363708"/>
    <n v="3"/>
    <n v="3"/>
    <x v="1"/>
  </r>
  <r>
    <s v="C28"/>
    <s v="Motor Drivers"/>
    <x v="2"/>
    <x v="0"/>
    <n v="1"/>
    <n v="0"/>
    <s v="0.10689143341815098"/>
    <s v="0.9695904850959778"/>
    <n v="2.1219839999999999E-3"/>
    <s v="0.028287477791309357"/>
    <n v="1"/>
    <n v="1"/>
    <x v="1"/>
  </r>
  <r>
    <s v="C29"/>
    <s v="E-stop Chain"/>
    <x v="2"/>
    <x v="0"/>
    <n v="1"/>
    <n v="0"/>
    <n v="0"/>
    <n v="0.90726399400000002"/>
    <n v="7.0886523000000007E-2"/>
    <n v="2.1849522E-2"/>
    <n v="1"/>
    <n v="1"/>
    <x v="1"/>
  </r>
  <r>
    <s v="C30"/>
    <s v="Docking/Charging Stations"/>
    <x v="1"/>
    <x v="1"/>
    <n v="7"/>
    <s v="0.015717361518888237"/>
    <s v="0.14222273822308654"/>
    <s v="0.021279683336615562"/>
    <n v="4.4467299999999998E-4"/>
    <s v="0.9782756567001343"/>
    <n v="3"/>
    <n v="3"/>
    <x v="1"/>
  </r>
  <r>
    <s v="C31"/>
    <s v="Order Ingestion Adapter"/>
    <x v="1"/>
    <x v="1"/>
    <n v="7"/>
    <s v="0.014012618748810938"/>
    <n v="9.5909179999999997E-2"/>
    <n v="1.1646E-3"/>
    <n v="4.1951402999999998E-2"/>
    <s v="0.9568840265274048"/>
    <n v="3"/>
    <n v="3"/>
    <x v="1"/>
  </r>
  <r>
    <s v="C32"/>
    <s v="Task Decomposition Engine"/>
    <x v="1"/>
    <x v="1"/>
    <n v="8"/>
    <n v="4.2465388999999999E-2"/>
    <s v="0.14611164122137404"/>
    <s v="2.8396289053489454e-06"/>
    <n v="6.7844934999999995E-2"/>
    <n v="0.93215227099999998"/>
    <n v="3"/>
    <n v="3"/>
    <x v="1"/>
  </r>
  <r>
    <s v="C33"/>
    <s v="Task Allocator/Optimizer"/>
    <x v="0"/>
    <x v="1"/>
    <n v="3"/>
    <n v="0"/>
    <s v="0.17651796344281812"/>
    <s v="1.7746480807545595e-05"/>
    <s v="0.16139110922813416"/>
    <s v="0.8385912179946899"/>
    <n v="2"/>
    <n v="3"/>
    <x v="0"/>
  </r>
  <r>
    <s v="C34"/>
    <s v="External WMS/ERP Systems"/>
    <x v="2"/>
    <x v="0"/>
    <n v="1"/>
    <n v="0"/>
    <n v="0"/>
    <s v="0.8836856484413147"/>
    <n v="9.5226899000000004E-2"/>
    <n v="2.1087429000000001E-2"/>
    <n v="1"/>
    <n v="1"/>
    <x v="1"/>
  </r>
  <r>
    <s v="C35"/>
    <s v="Inventory State Store"/>
    <x v="1"/>
    <x v="1"/>
    <n v="10"/>
    <n v="5.1024196000000001E-2"/>
    <s v="0.16550699182598122"/>
    <s v="3.7288458543116576e-07"/>
    <n v="5.6432745999999999E-2"/>
    <s v="0.9435669183731079"/>
    <n v="3"/>
    <n v="3"/>
    <x v="1"/>
  </r>
  <r>
    <s v="C36"/>
    <s v="Workflow Orchestrator"/>
    <x v="1"/>
    <x v="1"/>
    <n v="15"/>
    <n v="8.1384108999999996E-2"/>
    <s v="0.19790783149561775"/>
    <s v="2.485268392991846e-13"/>
    <n v="5.1846100000000001E-4"/>
    <s v="0.9994816184043884"/>
    <n v="3"/>
    <n v="3"/>
    <x v="1"/>
  </r>
  <r>
    <s v="C37"/>
    <s v="Robot Firmware"/>
    <x v="1"/>
    <x v="1"/>
    <n v="5"/>
    <n v="0"/>
    <s v="0.15454183144792913"/>
    <n v="8.6122649999999992E-3"/>
    <s v="0.20631994307041168"/>
    <s v="0.7850677967071533"/>
    <n v="3"/>
    <n v="3"/>
    <x v="1"/>
  </r>
  <r>
    <s v="C38"/>
    <s v="Monitoring System"/>
    <x v="2"/>
    <x v="0"/>
    <n v="1"/>
    <n v="0"/>
    <s v="0.11521232344471363"/>
    <s v="0.9650909304618835"/>
    <n v="3.8619499999999998E-4"/>
    <s v="0.034522879868745804"/>
    <n v="1"/>
    <n v="1"/>
    <x v="1"/>
  </r>
  <r>
    <s v="C39"/>
    <s v="HMI Console"/>
    <x v="1"/>
    <x v="1"/>
    <n v="14"/>
    <n v="8.7336414000000001E-2"/>
    <s v="0.18891202097308968"/>
    <s v="3.629911302094335e-11"/>
    <n v="3.0979010000000001E-3"/>
    <s v="0.9969021081924438"/>
    <n v="3"/>
    <n v="3"/>
    <x v="1"/>
  </r>
  <r>
    <s v="C40"/>
    <s v="Robots"/>
    <x v="1"/>
    <x v="1"/>
    <n v="9"/>
    <s v="0.041390327230021895"/>
    <s v="0.13217166131686134"/>
    <s v="3.3047170290956274e-05"/>
    <n v="7.0931575999999996E-2"/>
    <s v="0.9290353655815125"/>
    <n v="3"/>
    <n v="3"/>
    <x v="1"/>
  </r>
  <r>
    <s v="C41"/>
    <s v="Facility Electrical System"/>
    <x v="2"/>
    <x v="0"/>
    <n v="1"/>
    <n v="0"/>
    <n v="0"/>
    <s v="0.9518073797225952"/>
    <s v="0.026691576465964317"/>
    <s v="0.021500980481505394"/>
    <n v="1"/>
    <n v="1"/>
    <x v="1"/>
  </r>
  <r>
    <s v="C42"/>
    <s v="Edge Controllers"/>
    <x v="2"/>
    <x v="0"/>
    <n v="1"/>
    <n v="0"/>
    <s v="0.11521232344471363"/>
    <s v="0.9650909304618835"/>
    <n v="3.8619499999999998E-4"/>
    <s v="0.034522879868745804"/>
    <n v="1"/>
    <n v="1"/>
    <x v="1"/>
  </r>
  <r>
    <s v="C43"/>
    <s v="Safety Zone Status Topic"/>
    <x v="2"/>
    <x v="0"/>
    <n v="1"/>
    <n v="0"/>
    <n v="0"/>
    <s v="0.6110361218452454"/>
    <n v="0.26863893900000002"/>
    <s v="0.12032493948936462"/>
    <n v="1"/>
    <n v="1"/>
    <x v="1"/>
  </r>
  <r>
    <s v="C44"/>
    <s v="Plan Route API Endpoint"/>
    <x v="2"/>
    <x v="0"/>
    <n v="1"/>
    <n v="0"/>
    <s v="0.1278435748522736"/>
    <s v="0.44546085596084595"/>
    <s v="0.1459689885377884"/>
    <s v="0.4085701107978821"/>
    <n v="1"/>
    <n v="1"/>
    <x v="1"/>
  </r>
  <r>
    <s v="C45"/>
    <s v="O3 â€“ Task Allocator/Optimizer"/>
    <x v="1"/>
    <x v="1"/>
    <n v="5"/>
    <n v="2.5478272999999999E-2"/>
    <s v="0.14611164122137404"/>
    <n v="1.2491800000000001E-4"/>
    <s v="0.24262851476669312"/>
    <s v="0.7572465538978577"/>
    <n v="3"/>
    <n v="3"/>
    <x v="1"/>
  </r>
  <r>
    <s v="C46"/>
    <s v="O4 â€“ Inventory State Store"/>
    <x v="1"/>
    <x v="1"/>
    <n v="7"/>
    <s v="0.017721919725736526"/>
    <s v="0.1255187253445361"/>
    <s v="4.4337011786410585e-05"/>
    <s v="0.10577920079231262"/>
    <s v="0.8941764235496521"/>
    <n v="3"/>
    <n v="3"/>
    <x v="1"/>
  </r>
  <r>
    <s v="C47"/>
    <s v="O5 â€“ Workflow Orchestrator"/>
    <x v="1"/>
    <x v="1"/>
    <n v="6"/>
    <n v="1.7557163000000001E-2"/>
    <s v="0.12679518695820935"/>
    <n v="2.7863399999999999E-4"/>
    <s v="0.13020138442516327"/>
    <s v="0.8695200085639954"/>
    <n v="3"/>
    <n v="3"/>
    <x v="1"/>
  </r>
  <r>
    <s v="C48"/>
    <s v="O6 â€“ Slotting &amp; Layout Model Store"/>
    <x v="1"/>
    <x v="0"/>
    <n v="4"/>
    <n v="8.3382270000000001E-3"/>
    <s v="0.015267175572519083"/>
    <n v="0.74640184600000004"/>
    <s v="0.23283645510673523"/>
    <s v="0.020761704072356224"/>
    <n v="3"/>
    <n v="1"/>
    <x v="0"/>
  </r>
  <r>
    <s v="C49"/>
    <s v="O7 â€“ WMS/ERP Interface Gateway"/>
    <x v="1"/>
    <x v="1"/>
    <n v="6"/>
    <s v="0.014156716904808509"/>
    <s v="0.1226379677136779"/>
    <n v="4.3585159999999998E-3"/>
    <s v="0.3703922629356384"/>
    <s v="0.6252492070198059"/>
    <n v="3"/>
    <n v="3"/>
    <x v="1"/>
  </r>
  <r>
    <s v="C50"/>
    <s v="O8 â€“ Exception Handling Service"/>
    <x v="2"/>
    <x v="0"/>
    <n v="1"/>
    <n v="0"/>
    <n v="0"/>
    <s v="0.8855757117271423"/>
    <n v="8.3819597999999995E-2"/>
    <n v="3.0604719999999998E-2"/>
    <n v="1"/>
    <n v="1"/>
    <x v="1"/>
  </r>
  <r>
    <s v="C51"/>
    <s v="Fleet Supervisor"/>
    <x v="1"/>
    <x v="1"/>
    <n v="14"/>
    <s v="0.056207097672072985"/>
    <s v="0.16624257845631893"/>
    <s v="5.5247260759283545e-12"/>
    <n v="1.433567E-3"/>
    <s v="0.9985664486885071"/>
    <n v="3"/>
    <n v="3"/>
    <x v="1"/>
  </r>
  <r>
    <s v="C52"/>
    <s v="Robots/HMI"/>
    <x v="2"/>
    <x v="0"/>
    <n v="1"/>
    <n v="0"/>
    <n v="0"/>
    <s v="0.7220504879951477"/>
    <s v="0.20699995756149292"/>
    <n v="7.0949509999999993E-2"/>
    <n v="1"/>
    <n v="1"/>
    <x v="1"/>
  </r>
  <r>
    <s v="C53"/>
    <s v="Path Planning Service"/>
    <x v="0"/>
    <x v="1"/>
    <n v="4"/>
    <n v="2.7745159999999999E-3"/>
    <s v="0.12183902329860506"/>
    <n v="4.010741E-3"/>
    <s v="0.48548170924186707"/>
    <s v="0.5105074644088745"/>
    <n v="2"/>
    <n v="3"/>
    <x v="0"/>
  </r>
  <r>
    <s v="C54"/>
    <s v="Admin Tools / HMI"/>
    <x v="2"/>
    <x v="0"/>
    <n v="1"/>
    <n v="0"/>
    <n v="0"/>
    <n v="0.74645888800000004"/>
    <s v="0.24152065813541412"/>
    <s v="0.012020403519272804"/>
    <n v="1"/>
    <n v="1"/>
    <x v="1"/>
  </r>
  <r>
    <s v="C55"/>
    <s v="CAD System"/>
    <x v="2"/>
    <x v="0"/>
    <n v="1"/>
    <n v="0"/>
    <n v="0"/>
    <n v="0.74645888800000004"/>
    <s v="0.24152065813541412"/>
    <s v="0.012020403519272804"/>
    <n v="1"/>
    <n v="1"/>
    <x v="1"/>
  </r>
  <r>
    <s v="C56"/>
    <s v="Order Ingestion Service"/>
    <x v="0"/>
    <x v="2"/>
    <n v="2"/>
    <n v="0"/>
    <s v="0.10289014981426298"/>
    <s v="0.012594696134328842"/>
    <s v="0.6238755583763123"/>
    <s v="0.3635298013687134"/>
    <n v="2"/>
    <n v="2"/>
    <x v="1"/>
  </r>
  <r>
    <s v="C57"/>
    <s v="RBAC Service"/>
    <x v="1"/>
    <x v="1"/>
    <n v="4"/>
    <s v="0.010344490115482483"/>
    <s v="0.12942761298502337"/>
    <n v="3.3625499999999998E-4"/>
    <s v="0.26265662908554077"/>
    <s v="0.7370071411132812"/>
    <n v="3"/>
    <n v="3"/>
    <x v="1"/>
  </r>
  <r>
    <s v="C58"/>
    <s v="ERP"/>
    <x v="0"/>
    <x v="1"/>
    <n v="4"/>
    <n v="0"/>
    <n v="0"/>
    <n v="2.0760200000000001E-4"/>
    <s v="0.29728904366493225"/>
    <s v="0.7025033831596375"/>
    <n v="2"/>
    <n v="3"/>
    <x v="0"/>
  </r>
  <r>
    <s v="C59"/>
    <s v="Fixed Safety Lidar Grid"/>
    <x v="0"/>
    <x v="2"/>
    <n v="3"/>
    <n v="4.1103930000000004E-3"/>
    <n v="7.6335880000000002E-3"/>
    <s v="0.13910910487174988"/>
    <s v="0.6891029477119446"/>
    <s v="0.17178797721862793"/>
    <n v="2"/>
    <n v="2"/>
    <x v="1"/>
  </r>
  <r>
    <s v="C60"/>
    <s v="Facility Infrastructure"/>
    <x v="2"/>
    <x v="0"/>
    <n v="1"/>
    <n v="0"/>
    <n v="0"/>
    <n v="0.74805748500000002"/>
    <s v="0.23761533200740814"/>
    <s v="0.014327180571854115"/>
    <n v="1"/>
    <n v="1"/>
    <x v="1"/>
  </r>
  <r>
    <s v="C61"/>
    <s v="E-stop Circuits"/>
    <x v="2"/>
    <x v="2"/>
    <n v="1"/>
    <n v="0"/>
    <n v="0"/>
    <n v="6.157605E-2"/>
    <s v="0.6322529911994934"/>
    <s v="0.3061709702014923"/>
    <n v="1"/>
    <n v="2"/>
    <x v="0"/>
  </r>
  <r>
    <s v="C62"/>
    <s v="Obstacle &amp; Incident Event Bus"/>
    <x v="1"/>
    <x v="1"/>
    <n v="9"/>
    <s v="0.028181306046146642"/>
    <s v="0.1490222316839512"/>
    <s v="8.281488408101723e-05"/>
    <s v="0.059254322201013565"/>
    <s v="0.9406629204750061"/>
    <n v="3"/>
    <n v="3"/>
    <x v="1"/>
  </r>
  <r>
    <s v="C63"/>
    <s v="Robots Onboard Perception"/>
    <x v="2"/>
    <x v="0"/>
    <n v="1"/>
    <n v="0"/>
    <n v="0"/>
    <s v="0.8827271461486816"/>
    <n v="8.3667986E-2"/>
    <s v="0.033604878932237625"/>
    <n v="1"/>
    <n v="1"/>
    <x v="1"/>
  </r>
  <r>
    <s v="C64"/>
    <s v="Data Warehouse"/>
    <x v="1"/>
    <x v="1"/>
    <n v="6"/>
    <n v="6.232273E-3"/>
    <s v="0.12366412213740459"/>
    <n v="8.9104860999999994E-2"/>
    <n v="8.4895319999999996E-2"/>
    <s v="0.8259997963905334"/>
    <n v="3"/>
    <n v="3"/>
    <x v="1"/>
  </r>
  <r>
    <s v="C65"/>
    <s v="Schema Registry"/>
    <x v="2"/>
    <x v="0"/>
    <n v="0"/>
    <n v="0"/>
    <n v="0"/>
    <s v="0.7431235909461975"/>
    <s v="0.24843530356884003"/>
    <n v="8.4411E-3"/>
    <n v="1"/>
    <n v="1"/>
    <x v="1"/>
  </r>
  <r>
    <s v="C66"/>
    <s v="S4 â€“ Humanâ€“Machine Interface (HMI) Console"/>
    <x v="1"/>
    <x v="1"/>
    <n v="9"/>
    <n v="2.9032139999999999E-3"/>
    <s v="0.010178117048346055"/>
    <s v="5.089738053243309e-08"/>
    <n v="8.8197120000000004E-3"/>
    <s v="0.9911802411079407"/>
    <n v="3"/>
    <n v="3"/>
    <x v="1"/>
  </r>
  <r>
    <s v="C67"/>
    <s v="Safety Controller"/>
    <x v="0"/>
    <x v="1"/>
    <n v="4"/>
    <n v="0"/>
    <s v="0.11876825935350109"/>
    <n v="1.9201600000000001E-4"/>
    <s v="0.13447299599647522"/>
    <s v="0.8653350472450256"/>
    <n v="2"/>
    <n v="3"/>
    <x v="0"/>
  </r>
  <r>
    <s v="C68"/>
    <s v="S5 â€“ Role-Based Access Control (RBAC) Service"/>
    <x v="1"/>
    <x v="1"/>
    <n v="6"/>
    <n v="5.7741200000000002E-4"/>
    <s v="0.015267175572519083"/>
    <s v="3.826037755061407e-06"/>
    <s v="0.017265520989894867"/>
    <s v="0.9827306866645813"/>
    <n v="3"/>
    <n v="3"/>
    <x v="1"/>
  </r>
  <r>
    <s v="C69"/>
    <s v="Corporate Identity Provider / LDAP/AD"/>
    <x v="2"/>
    <x v="0"/>
    <n v="1"/>
    <n v="0"/>
    <s v="0.013740458015267175"/>
    <s v="0.5268977880477905"/>
    <s v="0.2778489887714386"/>
    <s v="0.19525320827960968"/>
    <n v="1"/>
    <n v="1"/>
    <x v="1"/>
  </r>
  <r>
    <s v="C70"/>
    <s v="WMS/ERP Gateway"/>
    <x v="1"/>
    <x v="1"/>
    <n v="8"/>
    <s v="0.021491543182158353"/>
    <s v="0.14441922838869406"/>
    <s v="9.813776159717236e-06"/>
    <n v="7.4255809000000006E-2"/>
    <s v="0.9257344007492065"/>
    <n v="3"/>
    <n v="3"/>
    <x v="1"/>
  </r>
  <r>
    <s v="C71"/>
    <s v="WMS/ERP System"/>
    <x v="1"/>
    <x v="1"/>
    <n v="3"/>
    <n v="9.9609450000000006E-3"/>
    <s v="0.11509101585437465"/>
    <n v="1.024662E-3"/>
    <s v="0.32904931902885437"/>
    <s v="0.6699260473251343"/>
    <n v="3"/>
    <n v="3"/>
    <x v="1"/>
  </r>
  <r>
    <s v="C72"/>
    <s v="S6 â€“ Training &amp; Simulation Station"/>
    <x v="1"/>
    <x v="0"/>
    <n v="5"/>
    <n v="0"/>
    <n v="0"/>
    <s v="0.5819392204284668"/>
    <s v="0.2343166172504425"/>
    <s v="0.1837441325187683"/>
    <n v="3"/>
    <n v="1"/>
    <x v="0"/>
  </r>
  <r>
    <s v="C73"/>
    <s v="Simulation/Test Harness"/>
    <x v="1"/>
    <x v="0"/>
    <n v="6"/>
    <n v="2.3488E-4"/>
    <n v="7.6335880000000002E-3"/>
    <s v="0.7254607677459717"/>
    <s v="0.18380948901176453"/>
    <n v="9.0729720999999999E-2"/>
    <n v="3"/>
    <n v="1"/>
    <x v="0"/>
  </r>
  <r>
    <s v="C74"/>
    <s v="Audit Log Store"/>
    <x v="2"/>
    <x v="0"/>
    <n v="1"/>
    <n v="0"/>
    <n v="7.6335880000000002E-3"/>
    <s v="0.7537657022476196"/>
    <s v="0.2051212638616562"/>
    <n v="4.1113037999999998E-2"/>
    <n v="1"/>
    <n v="1"/>
    <x v="1"/>
  </r>
  <r>
    <s v="C75"/>
    <s v="I1 â€“ Message Broker"/>
    <x v="0"/>
    <x v="1"/>
    <n v="4"/>
    <n v="0"/>
    <n v="0"/>
    <s v="4.0731865169618686e-07"/>
    <n v="6.7459828999999999E-2"/>
    <s v="0.9325397610664368"/>
    <n v="2"/>
    <n v="3"/>
    <x v="0"/>
  </r>
  <r>
    <s v="C76"/>
    <s v="I2 â€“ API Gateway"/>
    <x v="1"/>
    <x v="1"/>
    <n v="7"/>
    <n v="1.346908E-3"/>
    <s v="0.015267175572519083"/>
    <s v="4.6967448952273116e-07"/>
    <s v="0.021411407738924026"/>
    <s v="0.9785881042480469"/>
    <n v="3"/>
    <n v="3"/>
    <x v="1"/>
  </r>
  <r>
    <s v="C77"/>
    <s v="I3 â€“ Configuration &amp; Feature Flag Store"/>
    <x v="2"/>
    <x v="0"/>
    <n v="0"/>
    <n v="0"/>
    <n v="0"/>
    <s v="0.7431235909461975"/>
    <s v="0.24843530356884003"/>
    <n v="8.4411E-3"/>
    <n v="1"/>
    <n v="1"/>
    <x v="1"/>
  </r>
  <r>
    <s v="C78"/>
    <s v="Operators"/>
    <x v="0"/>
    <x v="1"/>
    <n v="3"/>
    <n v="2.3946369999999998E-3"/>
    <s v="0.017448200654307522"/>
    <n v="8.4436600000000004E-4"/>
    <s v="0.22288908064365387"/>
    <s v="0.7762665748596191"/>
    <n v="2"/>
    <n v="3"/>
    <x v="0"/>
  </r>
  <r>
    <s v="C79"/>
    <s v="API Gateway &amp; Ingress Service"/>
    <x v="1"/>
    <x v="1"/>
    <n v="8"/>
    <s v="0.029144646701898612"/>
    <s v="0.10275983558426308"/>
    <s v="3.7558354961220175e-05"/>
    <s v="0.023195907473564148"/>
    <s v="0.9767665863037109"/>
    <n v="3"/>
    <n v="3"/>
    <x v="1"/>
  </r>
  <r>
    <s v="C80"/>
    <s v="WMS/ERP Systems"/>
    <x v="1"/>
    <x v="1"/>
    <n v="3"/>
    <n v="8.3108239999999996E-3"/>
    <s v="0.11403835412399925"/>
    <n v="3.3124400000000002E-4"/>
    <s v="0.35613393783569336"/>
    <s v="0.6435347199440002"/>
    <n v="3"/>
    <n v="3"/>
    <x v="1"/>
  </r>
  <r>
    <s v="C81"/>
    <s v="HMI Console/Browsers"/>
    <x v="0"/>
    <x v="2"/>
    <n v="2"/>
    <n v="0"/>
    <n v="8.1314305000000003E-2"/>
    <n v="9.3525916000000001E-2"/>
    <s v="0.5335071682929993"/>
    <s v="0.3729669153690338"/>
    <n v="2"/>
    <n v="2"/>
    <x v="1"/>
  </r>
  <r>
    <s v="C82"/>
    <s v="Internal Application Services"/>
    <x v="0"/>
    <x v="2"/>
    <n v="2"/>
    <n v="0"/>
    <n v="0"/>
    <s v="0.2337440699338913"/>
    <s v="0.5313340425491333"/>
    <s v="0.23492194712162018"/>
    <n v="2"/>
    <n v="2"/>
    <x v="1"/>
  </r>
  <r>
    <s v="C83"/>
    <s v="Monitoring APIs"/>
    <x v="2"/>
    <x v="0"/>
    <n v="1"/>
    <n v="0"/>
    <n v="8.8461875999999995E-2"/>
    <s v="0.7985480427742004"/>
    <n v="6.4056821E-2"/>
    <s v="0.13739509880542755"/>
    <n v="1"/>
    <n v="1"/>
    <x v="1"/>
  </r>
  <r>
    <s v="C84"/>
    <s v="Configuration &amp; Feature Flag Store"/>
    <x v="1"/>
    <x v="1"/>
    <n v="11"/>
    <n v="9.0428660000000001E-3"/>
    <s v="0.015267175572519083"/>
    <n v="8.3247699999999998E-4"/>
    <s v="0.052725888788700104"/>
    <s v="0.9464417099952698"/>
    <n v="3"/>
    <n v="3"/>
    <x v="1"/>
  </r>
  <r>
    <s v="C85"/>
    <s v="Admin Tools"/>
    <x v="2"/>
    <x v="0"/>
    <n v="1"/>
    <n v="0"/>
    <n v="0"/>
    <s v="0.7337643504142761"/>
    <s v="0.1935977190732956"/>
    <n v="7.2637892999999995E-2"/>
    <n v="1"/>
    <n v="1"/>
    <x v="1"/>
  </r>
  <r>
    <s v="C86"/>
    <s v="CI/CD Pipelines"/>
    <x v="2"/>
    <x v="0"/>
    <n v="1"/>
    <n v="0"/>
    <n v="0"/>
    <s v="0.7337643504142761"/>
    <s v="0.1935977190732956"/>
    <n v="7.2637892999999995E-2"/>
    <n v="1"/>
    <n v="1"/>
    <x v="1"/>
  </r>
  <r>
    <s v="C87"/>
    <s v="Metrics &amp; Logging Pipeline"/>
    <x v="1"/>
    <x v="1"/>
    <n v="9"/>
    <n v="2.8472126E-2"/>
    <s v="0.11403835412399925"/>
    <s v="0.2823554277420044"/>
    <s v="0.021213706582784653"/>
    <s v="0.6964309215545654"/>
    <n v="3"/>
    <n v="3"/>
    <x v="1"/>
  </r>
  <r>
    <s v="C88"/>
    <s v="Infrastructure Platform"/>
    <x v="2"/>
    <x v="0"/>
    <n v="1"/>
    <n v="0"/>
    <n v="0"/>
    <s v="0.9232996106147766"/>
    <n v="5.5232409000000003E-2"/>
    <n v="2.1468028E-2"/>
    <n v="1"/>
    <n v="1"/>
    <x v="1"/>
  </r>
  <r>
    <s v="C89"/>
    <s v="System Health Dashboard"/>
    <x v="1"/>
    <x v="1"/>
    <n v="6"/>
    <s v="0.018406733215893523"/>
    <n v="9.4218086000000006E-2"/>
    <s v="0.3102821409702301"/>
    <s v="0.20428742468357086"/>
    <n v="0.48543050900000001"/>
    <n v="3"/>
    <n v="3"/>
    <x v="1"/>
  </r>
  <r>
    <s v="C90"/>
    <s v="Alerting Tools"/>
    <x v="2"/>
    <x v="0"/>
    <n v="1"/>
    <n v="0"/>
    <n v="9.6443398999999999E-2"/>
    <n v="0.96103197299999998"/>
    <s v="0.015407579019665718"/>
    <n v="2.356039E-2"/>
    <n v="1"/>
    <n v="1"/>
    <x v="1"/>
  </r>
  <r>
    <s v="C91"/>
    <s v="Reporting Service"/>
    <x v="2"/>
    <x v="0"/>
    <n v="1"/>
    <n v="0"/>
    <n v="9.6443398999999999E-2"/>
    <n v="0.96103197299999998"/>
    <s v="0.015407579019665718"/>
    <n v="2.356039E-2"/>
    <n v="1"/>
    <n v="1"/>
    <x v="1"/>
  </r>
  <r>
    <s v="C92"/>
    <s v="On-call Systems"/>
    <x v="2"/>
    <x v="0"/>
    <n v="1"/>
    <n v="0"/>
    <n v="8.2224179999999994E-2"/>
    <s v="0.9599865078926086"/>
    <s v="0.018198857083916664"/>
    <s v="0.021814700216054916"/>
    <n v="1"/>
    <n v="1"/>
    <x v="1"/>
  </r>
  <r>
    <s v="C93"/>
    <s v="Time Sync Service"/>
    <x v="1"/>
    <x v="1"/>
    <n v="8"/>
    <n v="4.1691130000000003E-3"/>
    <n v="7.6335880000000002E-3"/>
    <s v="2.6622974473866634e-05"/>
    <n v="0.11529541"/>
    <s v="0.8846778869628906"/>
    <n v="3"/>
    <n v="3"/>
    <x v="1"/>
  </r>
  <r>
    <s v="C94"/>
    <s v="External Time Sources (NTP/PTP/GPS)"/>
    <x v="2"/>
    <x v="0"/>
    <n v="1"/>
    <n v="0"/>
    <n v="0"/>
    <s v="0.7335384488105774"/>
    <s v="0.22570808231830597"/>
    <n v="4.0753446999999998E-2"/>
    <n v="1"/>
    <n v="1"/>
    <x v="1"/>
  </r>
  <r>
    <s v="C95"/>
    <s v="Message Broker"/>
    <x v="0"/>
    <x v="1"/>
    <n v="4"/>
    <n v="1.1920139999999999E-3"/>
    <s v="0.1539283133854805"/>
    <s v="2.2077445009927033e-06"/>
    <s v="0.16211222112178802"/>
    <s v="0.8378855586051941"/>
    <n v="2"/>
    <n v="3"/>
    <x v="0"/>
  </r>
  <r>
    <s v="C96"/>
    <s v="Operational Databases"/>
    <x v="2"/>
    <x v="0"/>
    <n v="1"/>
    <n v="0"/>
    <s v="0.010178117048346055"/>
    <s v="0.7336766123771667"/>
    <s v="0.22679433226585388"/>
    <s v="0.039529044181108475"/>
    <n v="1"/>
    <n v="1"/>
    <x v="1"/>
  </r>
  <r>
    <s v="C97"/>
    <s v="Historical Data Warehouse"/>
    <x v="1"/>
    <x v="1"/>
    <n v="9"/>
    <s v="0.010796499937721311"/>
    <s v="0.1516188470650171"/>
    <s v="0.038653887808322906"/>
    <n v="7.9017058000000001E-2"/>
    <s v="0.8823291063308716"/>
    <n v="3"/>
    <n v="3"/>
    <x v="1"/>
  </r>
  <r>
    <s v="C98"/>
    <s v="Inventory CDC Pipeline"/>
    <x v="2"/>
    <x v="0"/>
    <n v="1"/>
    <n v="0"/>
    <n v="0"/>
    <s v="0.7055943608283997"/>
    <s v="0.24142225086688995"/>
    <n v="5.2983407000000003E-2"/>
    <n v="1"/>
    <n v="1"/>
    <x v="1"/>
  </r>
  <r>
    <s v="C99"/>
    <s v="BI Tools"/>
    <x v="0"/>
    <x v="2"/>
    <n v="2"/>
    <n v="0"/>
    <s v="0.12855967454404169"/>
    <s v="0.12502208352088928"/>
    <s v="0.6610010862350464"/>
    <s v="0.21397683024406433"/>
    <n v="2"/>
    <n v="2"/>
    <x v="1"/>
  </r>
  <r>
    <s v="C100"/>
    <s v="Optimization Model Training Pipeline"/>
    <x v="2"/>
    <x v="0"/>
    <n v="1"/>
    <n v="0"/>
    <s v="0.12179457878136857"/>
    <s v="0.8575367331504822"/>
    <s v="0.021121328696608543"/>
    <s v="0.12134191393852234"/>
    <n v="1"/>
    <n v="1"/>
    <x v="1"/>
  </r>
  <r>
    <s v="C101"/>
    <s v="Simulation Station"/>
    <x v="0"/>
    <x v="2"/>
    <n v="2"/>
    <n v="0"/>
    <s v="0.12855967454404169"/>
    <s v="0.12502208352088928"/>
    <s v="0.6610010862350464"/>
    <s v="0.21397683024406433"/>
    <n v="2"/>
    <n v="2"/>
    <x v="1"/>
  </r>
  <r>
    <s v="C102"/>
    <s v="Edge Compute Nodes"/>
    <x v="1"/>
    <x v="1"/>
    <n v="11"/>
    <n v="3.4520034999999998E-2"/>
    <s v="0.14009206049689796"/>
    <n v="5.8850799999999996E-4"/>
    <n v="7.1524499999999999E-4"/>
    <s v="0.9986962676048279"/>
    <n v="3"/>
    <n v="3"/>
    <x v="1"/>
  </r>
  <r>
    <s v="C103"/>
    <s v="Localization Service"/>
    <x v="0"/>
    <x v="0"/>
    <n v="2"/>
    <n v="0"/>
    <s v="0.11590637358594684"/>
    <s v="0.45225727558135986"/>
    <s v="0.41195470094680786"/>
    <s v="0.13578800857067108"/>
    <n v="2"/>
    <n v="1"/>
    <x v="0"/>
  </r>
  <r>
    <s v="C104"/>
    <s v="Metrics Pipeline"/>
    <x v="2"/>
    <x v="0"/>
    <n v="1"/>
    <n v="0"/>
    <s v="0.010178117048346055"/>
    <s v="0.7498277425765991"/>
    <s v="0.21827425062656403"/>
    <n v="3.1898014000000002E-2"/>
    <n v="1"/>
    <n v="1"/>
    <x v="1"/>
  </r>
  <r>
    <s v="C105"/>
    <s v="Training Datasets for Optimization Models"/>
    <x v="2"/>
    <x v="0"/>
    <n v="1"/>
    <n v="0"/>
    <s v="0.10350989647067965"/>
    <n v="0.94782847199999998"/>
    <n v="6.0752840000000002E-3"/>
    <n v="4.6096321000000003E-2"/>
    <n v="1"/>
    <n v="1"/>
    <x v="1"/>
  </r>
  <r>
    <s v="C106"/>
    <s v="Facility Power"/>
    <x v="2"/>
    <x v="0"/>
    <n v="1"/>
    <n v="0"/>
    <s v="0.11384886399566375"/>
    <s v="0.8703922629356384"/>
    <n v="1.7929146E-2"/>
    <s v="0.11167863756418228"/>
    <n v="1"/>
    <n v="1"/>
    <x v="1"/>
  </r>
  <r>
    <s v="C107"/>
    <s v="Facility Network"/>
    <x v="2"/>
    <x v="0"/>
    <n v="1"/>
    <n v="0"/>
    <s v="0.11384886399566375"/>
    <s v="0.8703922629356384"/>
    <n v="1.7929146E-2"/>
    <s v="0.11167863756418228"/>
    <n v="1"/>
    <n v="1"/>
    <x v="1"/>
  </r>
  <r>
    <s v="C108"/>
    <s v="Config Store"/>
    <x v="0"/>
    <x v="0"/>
    <n v="2"/>
    <n v="0"/>
    <s v="0.11590637358594684"/>
    <n v="0.65396648599999996"/>
    <s v="0.3025943636894226"/>
    <n v="4.3439182999999999E-2"/>
    <n v="2"/>
    <n v="1"/>
    <x v="0"/>
  </r>
  <r>
    <s v="C109"/>
    <s v="Mapping Service"/>
    <x v="2"/>
    <x v="0"/>
    <n v="1"/>
    <n v="0"/>
    <n v="0"/>
    <s v="0.8525727391242981"/>
    <n v="8.1478648000000001E-2"/>
    <n v="6.5948613000000003E-2"/>
    <n v="1"/>
    <n v="1"/>
    <x v="1"/>
  </r>
  <r>
    <s v="C110"/>
    <s v="Sensors"/>
    <x v="2"/>
    <x v="0"/>
    <n v="1"/>
    <n v="0"/>
    <s v="0.11384886399566375"/>
    <s v="0.8703922629356384"/>
    <n v="1.7929146E-2"/>
    <s v="0.11167863756418228"/>
    <n v="1"/>
    <n v="1"/>
    <x v="1"/>
  </r>
  <r>
    <s v="C111"/>
    <s v="Backup &amp; Recovery Service"/>
    <x v="0"/>
    <x v="0"/>
    <n v="4"/>
    <n v="0"/>
    <n v="0"/>
    <s v="0.5309144854545593"/>
    <n v="0.40060278799999999"/>
    <n v="6.8482778999999994E-2"/>
    <n v="2"/>
    <n v="1"/>
    <x v="0"/>
  </r>
  <r>
    <s v="C112"/>
    <s v="Layout Data Store"/>
    <x v="2"/>
    <x v="0"/>
    <n v="1"/>
    <n v="0"/>
    <n v="7.6335880000000002E-3"/>
    <s v="0.7484665513038635"/>
    <s v="0.23715610802173615"/>
    <s v="0.014377342537045479"/>
    <n v="1"/>
    <n v="1"/>
    <x v="1"/>
  </r>
  <r>
    <s v="C113"/>
    <s v="Warehouse Data Store"/>
    <x v="2"/>
    <x v="0"/>
    <n v="1"/>
    <n v="0"/>
    <n v="7.6335880000000002E-3"/>
    <s v="0.7484665513038635"/>
    <s v="0.23715610802173615"/>
    <s v="0.014377342537045479"/>
    <n v="1"/>
    <n v="1"/>
    <x v="1"/>
  </r>
  <r>
    <s v="C114"/>
    <s v="Training &amp; Simulation Station"/>
    <x v="2"/>
    <x v="0"/>
    <n v="1"/>
    <n v="0"/>
    <s v="0.010178117048346055"/>
    <s v="0.7498277425765991"/>
    <s v="0.21827425062656403"/>
    <n v="3.1898014000000002E-2"/>
    <n v="1"/>
    <n v="1"/>
    <x v="1"/>
  </r>
  <r>
    <s v="C115"/>
    <s v="CI Pipelines"/>
    <x v="2"/>
    <x v="0"/>
    <n v="1"/>
    <n v="0"/>
    <s v="0.010178117048346055"/>
    <s v="0.7498277425765991"/>
    <s v="0.21827425062656403"/>
    <n v="3.1898014000000002E-2"/>
    <n v="1"/>
    <n v="1"/>
    <x v="1"/>
  </r>
  <r>
    <s v="C116"/>
    <s v="orders.raw Topic"/>
    <x v="2"/>
    <x v="0"/>
    <n v="1"/>
    <n v="0"/>
    <n v="8.3472702999999995E-2"/>
    <s v="0.9663532376289368"/>
    <s v="0.010859536938369274"/>
    <n v="2.2787305000000001E-2"/>
    <n v="1"/>
    <n v="1"/>
    <x v="1"/>
  </r>
  <r>
    <s v="C117"/>
    <s v="orders.normalized Topic"/>
    <x v="0"/>
    <x v="2"/>
    <n v="2"/>
    <n v="0"/>
    <s v="0.12294222373972637"/>
    <s v="0.021348411217331886"/>
    <s v="0.5553398132324219"/>
    <s v="0.42331185936927795"/>
    <n v="2"/>
    <n v="2"/>
    <x v="1"/>
  </r>
  <r>
    <s v="C118"/>
    <s v="tasks.generated Topic"/>
    <x v="0"/>
    <x v="1"/>
    <n v="2"/>
    <n v="0"/>
    <s v="0.1596718507491052"/>
    <s v="1.5282552340067923e-05"/>
    <s v="0.23206186294555664"/>
    <s v="0.7679228782653809"/>
    <n v="2"/>
    <n v="3"/>
    <x v="0"/>
  </r>
  <r>
    <s v="C119"/>
    <s v="Task Allocator"/>
    <x v="0"/>
    <x v="1"/>
    <n v="3"/>
    <n v="0"/>
    <n v="0"/>
    <s v="6.13437464380695e-07"/>
    <n v="9.8495430999999994E-2"/>
    <s v="0.9015039801597595"/>
    <n v="2"/>
    <n v="3"/>
    <x v="0"/>
  </r>
  <r>
    <s v="C120"/>
    <s v="Onboard Perception"/>
    <x v="0"/>
    <x v="1"/>
    <n v="2"/>
    <n v="9.9334500000000008E-4"/>
    <s v="0.10779417911432783"/>
    <n v="1.9959159999999999E-3"/>
    <s v="0.4762312173843384"/>
    <s v="0.5217729210853577"/>
    <n v="2"/>
    <n v="3"/>
    <x v="0"/>
  </r>
  <r>
    <s v="C121"/>
    <s v="Fixed Safety Lidar"/>
    <x v="2"/>
    <x v="0"/>
    <n v="1"/>
    <n v="0"/>
    <n v="0"/>
    <s v="0.8827271461486816"/>
    <n v="8.3667970999999994E-2"/>
    <s v="0.033604878932237625"/>
    <n v="1"/>
    <n v="1"/>
    <x v="1"/>
  </r>
  <r>
    <s v="C122"/>
    <s v="HMI"/>
    <x v="0"/>
    <x v="1"/>
    <n v="2"/>
    <n v="1.0060679999999999E-3"/>
    <s v="0.11473797592844097"/>
    <n v="1.4758499999999999E-4"/>
    <s v="0.3636355996131897"/>
    <s v="0.6362168192863464"/>
    <n v="2"/>
    <n v="3"/>
    <x v="0"/>
  </r>
  <r>
    <s v="C123"/>
    <s v="API Gateway"/>
    <x v="0"/>
    <x v="1"/>
    <n v="2"/>
    <n v="6.1068700000000004E-3"/>
    <s v="0.1427655731018006"/>
    <s v="5.5946999054867774e-05"/>
    <s v="0.20249775052070618"/>
    <s v="0.7974463105201721"/>
    <n v="2"/>
    <n v="3"/>
    <x v="0"/>
  </r>
  <r>
    <s v="C124"/>
    <s v="Robot Fleet"/>
    <x v="1"/>
    <x v="1"/>
    <n v="5"/>
    <n v="8.8948480000000003E-3"/>
    <s v="0.14611164122137404"/>
    <s v="2.409359240118647e-06"/>
    <s v="0.14227131009101868"/>
    <s v="0.8577263355255127"/>
    <n v="3"/>
    <n v="3"/>
    <x v="1"/>
  </r>
  <r>
    <s v="C125"/>
    <s v="Path Planning"/>
    <x v="2"/>
    <x v="0"/>
    <n v="1"/>
    <n v="0"/>
    <s v="0.013740458015267175"/>
    <s v="0.7368863224983215"/>
    <s v="0.1938200443983078"/>
    <n v="6.9293595999999999E-2"/>
    <n v="1"/>
    <n v="1"/>
    <x v="1"/>
  </r>
  <r>
    <s v="C126"/>
    <s v="Localization"/>
    <x v="2"/>
    <x v="0"/>
    <n v="1"/>
    <n v="0"/>
    <s v="0.013740458015267175"/>
    <s v="0.7368863224983215"/>
    <s v="0.1938200443983078"/>
    <n v="6.9293595999999999E-2"/>
    <n v="1"/>
    <n v="1"/>
    <x v="1"/>
  </r>
  <r>
    <s v="C127"/>
    <s v="Warehouse Inventory Store"/>
    <x v="0"/>
    <x v="0"/>
    <n v="2"/>
    <n v="7.0463899999999996E-4"/>
    <s v="0.013740458015267175"/>
    <s v="0.7265598773956299"/>
    <s v="0.2318824678659439"/>
    <n v="4.1557721999999998E-2"/>
    <n v="2"/>
    <n v="1"/>
    <x v="0"/>
  </r>
  <r>
    <s v="C128"/>
    <s v="WMS/ERP Interface Gateway"/>
    <x v="0"/>
    <x v="0"/>
    <n v="3"/>
    <n v="7.0463899999999996E-4"/>
    <s v="0.013570822731128073"/>
    <s v="0.7486132383346558"/>
    <s v="0.23390962183475494"/>
    <s v="0.017477136105298996"/>
    <n v="2"/>
    <n v="1"/>
    <x v="0"/>
  </r>
  <r>
    <s v="C129"/>
    <s v="CDC Streams"/>
    <x v="0"/>
    <x v="0"/>
    <n v="2"/>
    <n v="2.9359999999999998E-4"/>
    <s v="0.013631406761177755"/>
    <s v="0.7397051453590393"/>
    <s v="0.24977070093154907"/>
    <s v="0.010524148121476173"/>
    <n v="2"/>
    <n v="1"/>
    <x v="0"/>
  </r>
  <r>
    <s v="C130"/>
    <s v="Warehouse Management System (WMS)"/>
    <x v="2"/>
    <x v="0"/>
    <n v="1"/>
    <n v="0"/>
    <s v="0.013740458015267175"/>
    <s v="0.7431235909461975"/>
    <s v="0.24843530356884003"/>
    <n v="8.4411E-3"/>
    <n v="1"/>
    <n v="1"/>
    <x v="1"/>
  </r>
  <r>
    <s v="C131"/>
    <s v="ERP System"/>
    <x v="2"/>
    <x v="0"/>
    <n v="1"/>
    <n v="0"/>
    <s v="0.013631406761177755"/>
    <s v="0.7371448874473572"/>
    <s v="0.2507725954055786"/>
    <s v="0.012082518078386784"/>
    <n v="1"/>
    <n v="1"/>
    <x v="1"/>
  </r>
  <r>
    <s v="C132"/>
    <s v="Production Environment"/>
    <x v="2"/>
    <x v="0"/>
    <n v="1"/>
    <n v="0"/>
    <s v="0.010178117048346055"/>
    <s v="0.7498277425765991"/>
    <s v="0.21827425062656403"/>
    <n v="3.1898014000000002E-2"/>
    <n v="1"/>
    <n v="1"/>
    <x v="1"/>
  </r>
  <r>
    <m/>
    <m/>
    <x v="3"/>
    <x v="3"/>
    <m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82194-3B0A-4FD8-A2D9-88D253591E5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1" firstDataRow="2" firstDataCol="1"/>
  <pivotFields count="13">
    <pivotField dataField="1"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4">
        <item x="1"/>
        <item x="0"/>
        <item h="1"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0" baseItem="0"/>
  </dataFields>
  <formats count="7">
    <format dxfId="6">
      <pivotArea collapsedLevelsAreSubtotals="1" fieldPosition="0">
        <references count="2">
          <reference field="2" count="1">
            <x v="0"/>
          </reference>
          <reference field="3" count="1" selected="0">
            <x v="0"/>
          </reference>
        </references>
      </pivotArea>
    </format>
    <format dxfId="5">
      <pivotArea collapsedLevelsAreSubtotals="1" fieldPosition="0">
        <references count="2">
          <reference field="2" count="1">
            <x v="1"/>
          </reference>
          <reference field="3" count="1" selected="0">
            <x v="1"/>
          </reference>
        </references>
      </pivotArea>
    </format>
    <format dxfId="4">
      <pivotArea collapsedLevelsAreSubtotals="1" fieldPosition="0">
        <references count="2">
          <reference field="2" count="1">
            <x v="2"/>
          </reference>
          <reference field="3" count="1" selected="0">
            <x v="2"/>
          </reference>
        </references>
      </pivotArea>
    </format>
    <format dxfId="3">
      <pivotArea collapsedLevelsAreSubtotals="1" fieldPosition="0">
        <references count="2">
          <reference field="2" count="1">
            <x v="2"/>
          </reference>
          <reference field="3" count="1" selected="0">
            <x v="0"/>
          </reference>
        </references>
      </pivotArea>
    </format>
    <format dxfId="2">
      <pivotArea collapsedLevelsAreSubtotals="1" fieldPosition="0">
        <references count="2">
          <reference field="2" count="1">
            <x v="1"/>
          </reference>
          <reference field="3" count="1" selected="0">
            <x v="2"/>
          </reference>
        </references>
      </pivotArea>
    </format>
    <format dxfId="1">
      <pivotArea collapsedLevelsAreSubtotals="1" fieldPosition="0">
        <references count="2">
          <reference field="2" count="1">
            <x v="0"/>
          </reference>
          <reference field="3" count="1" selected="0">
            <x v="1"/>
          </reference>
        </references>
      </pivotArea>
    </format>
    <format dxfId="0">
      <pivotArea collapsedLevelsAreSubtotals="1" fieldPosition="0">
        <references count="2">
          <reference field="2" count="1">
            <x v="2"/>
          </reference>
          <reference field="3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38EBB-80AF-4655-83B4-1091D485C61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9A4E-6F8C-4AB9-A991-597DA10567DE}">
  <dimension ref="A3:E8"/>
  <sheetViews>
    <sheetView zoomScale="250" zoomScaleNormal="250" workbookViewId="0">
      <selection activeCell="E8" sqref="A3:E8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3.88671875" bestFit="1" customWidth="1"/>
    <col min="4" max="4" width="8" bestFit="1" customWidth="1"/>
    <col min="5" max="6" width="10.5546875" bestFit="1" customWidth="1"/>
  </cols>
  <sheetData>
    <row r="3" spans="1:5" x14ac:dyDescent="0.3">
      <c r="A3" s="2" t="s">
        <v>596</v>
      </c>
      <c r="B3" s="2" t="s">
        <v>598</v>
      </c>
    </row>
    <row r="4" spans="1:5" x14ac:dyDescent="0.3">
      <c r="A4" s="2" t="s">
        <v>592</v>
      </c>
      <c r="B4" t="s">
        <v>21</v>
      </c>
      <c r="C4" t="s">
        <v>15</v>
      </c>
      <c r="D4" t="s">
        <v>14</v>
      </c>
      <c r="E4" t="s">
        <v>595</v>
      </c>
    </row>
    <row r="5" spans="1:5" x14ac:dyDescent="0.3">
      <c r="A5" s="3" t="s">
        <v>21</v>
      </c>
      <c r="B5" s="5">
        <v>37</v>
      </c>
      <c r="C5" s="7">
        <v>4</v>
      </c>
      <c r="E5">
        <v>41</v>
      </c>
    </row>
    <row r="6" spans="1:5" x14ac:dyDescent="0.3">
      <c r="A6" s="3" t="s">
        <v>15</v>
      </c>
      <c r="C6" s="5">
        <v>57</v>
      </c>
      <c r="D6" s="5">
        <v>1</v>
      </c>
      <c r="E6">
        <v>58</v>
      </c>
    </row>
    <row r="7" spans="1:5" x14ac:dyDescent="0.3">
      <c r="A7" s="3" t="s">
        <v>14</v>
      </c>
      <c r="B7" s="7">
        <v>13</v>
      </c>
      <c r="C7" s="6">
        <v>11</v>
      </c>
      <c r="D7" s="5">
        <v>9</v>
      </c>
      <c r="E7">
        <v>33</v>
      </c>
    </row>
    <row r="8" spans="1:5" x14ac:dyDescent="0.3">
      <c r="A8" s="3" t="s">
        <v>595</v>
      </c>
      <c r="B8">
        <v>50</v>
      </c>
      <c r="C8">
        <v>72</v>
      </c>
      <c r="D8">
        <v>10</v>
      </c>
      <c r="E8">
        <v>132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DB2A-832F-4BAB-BA85-6552C2C297F6}">
  <dimension ref="A1:M133"/>
  <sheetViews>
    <sheetView zoomScale="130" zoomScaleNormal="130" workbookViewId="0">
      <pane ySplit="1" topLeftCell="A26" activePane="bottomLeft" state="frozen"/>
      <selection activeCell="B1" sqref="B1"/>
      <selection pane="bottomLeft" activeCell="C1" sqref="C1:Q1048576"/>
    </sheetView>
  </sheetViews>
  <sheetFormatPr defaultRowHeight="14.4" x14ac:dyDescent="0.3"/>
  <cols>
    <col min="1" max="1" width="5.21875" bestFit="1" customWidth="1"/>
    <col min="2" max="2" width="42.88671875" bestFit="1" customWidth="1"/>
    <col min="3" max="3" width="11.6640625" bestFit="1" customWidth="1"/>
    <col min="4" max="4" width="7.5546875" bestFit="1" customWidth="1"/>
    <col min="5" max="5" width="6.5546875" hidden="1" customWidth="1"/>
    <col min="6" max="7" width="21" hidden="1" customWidth="1"/>
    <col min="8" max="9" width="22.6640625" hidden="1" customWidth="1"/>
    <col min="10" max="10" width="21" hidden="1" customWidth="1"/>
    <col min="11" max="11" width="17.21875" bestFit="1" customWidth="1"/>
    <col min="12" max="12" width="13" bestFit="1" customWidth="1"/>
    <col min="13" max="13" width="9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591</v>
      </c>
    </row>
    <row r="2" spans="1:13" x14ac:dyDescent="0.3">
      <c r="A2" t="s">
        <v>169</v>
      </c>
      <c r="B2" t="s">
        <v>170</v>
      </c>
      <c r="C2" t="s">
        <v>21</v>
      </c>
      <c r="D2" t="s">
        <v>21</v>
      </c>
      <c r="E2">
        <v>15</v>
      </c>
      <c r="F2">
        <v>8.1384108999999996E-2</v>
      </c>
      <c r="G2" s="1" t="s">
        <v>171</v>
      </c>
      <c r="H2" s="1" t="s">
        <v>172</v>
      </c>
      <c r="I2">
        <v>5.1846100000000001E-4</v>
      </c>
      <c r="J2" s="1" t="s">
        <v>173</v>
      </c>
      <c r="K2">
        <v>3</v>
      </c>
      <c r="L2">
        <v>3</v>
      </c>
      <c r="M2" t="str">
        <f t="shared" ref="M2:M33" si="0">IF(C2=D2,"Agreement","Disagreement")</f>
        <v>Agreement</v>
      </c>
    </row>
    <row r="3" spans="1:13" x14ac:dyDescent="0.3">
      <c r="A3" t="s">
        <v>184</v>
      </c>
      <c r="B3" t="s">
        <v>185</v>
      </c>
      <c r="C3" t="s">
        <v>21</v>
      </c>
      <c r="D3" t="s">
        <v>21</v>
      </c>
      <c r="E3">
        <v>14</v>
      </c>
      <c r="F3">
        <v>8.7336414000000001E-2</v>
      </c>
      <c r="G3" s="1" t="s">
        <v>186</v>
      </c>
      <c r="H3" s="1" t="s">
        <v>187</v>
      </c>
      <c r="I3">
        <v>3.0979010000000001E-3</v>
      </c>
      <c r="J3" s="1" t="s">
        <v>188</v>
      </c>
      <c r="K3">
        <v>3</v>
      </c>
      <c r="L3">
        <v>3</v>
      </c>
      <c r="M3" t="str">
        <f t="shared" si="0"/>
        <v>Agreement</v>
      </c>
    </row>
    <row r="4" spans="1:13" x14ac:dyDescent="0.3">
      <c r="A4" t="s">
        <v>242</v>
      </c>
      <c r="B4" t="s">
        <v>243</v>
      </c>
      <c r="C4" t="s">
        <v>21</v>
      </c>
      <c r="D4" t="s">
        <v>21</v>
      </c>
      <c r="E4">
        <v>14</v>
      </c>
      <c r="F4" s="1" t="s">
        <v>244</v>
      </c>
      <c r="G4" s="1" t="s">
        <v>245</v>
      </c>
      <c r="H4" s="1" t="s">
        <v>246</v>
      </c>
      <c r="I4">
        <v>1.433567E-3</v>
      </c>
      <c r="J4" s="1" t="s">
        <v>247</v>
      </c>
      <c r="K4">
        <v>3</v>
      </c>
      <c r="L4">
        <v>3</v>
      </c>
      <c r="M4" t="str">
        <f t="shared" si="0"/>
        <v>Agreement</v>
      </c>
    </row>
    <row r="5" spans="1:13" x14ac:dyDescent="0.3">
      <c r="A5" t="s">
        <v>52</v>
      </c>
      <c r="B5" t="s">
        <v>53</v>
      </c>
      <c r="C5" t="s">
        <v>21</v>
      </c>
      <c r="D5" t="s">
        <v>21</v>
      </c>
      <c r="E5">
        <v>12</v>
      </c>
      <c r="F5">
        <v>8.3886050000000004E-2</v>
      </c>
      <c r="G5" s="1" t="s">
        <v>54</v>
      </c>
      <c r="H5" s="1" t="s">
        <v>55</v>
      </c>
      <c r="I5" s="1" t="s">
        <v>56</v>
      </c>
      <c r="J5" s="1" t="s">
        <v>57</v>
      </c>
      <c r="K5">
        <v>3</v>
      </c>
      <c r="L5">
        <v>3</v>
      </c>
      <c r="M5" t="str">
        <f t="shared" si="0"/>
        <v>Agreement</v>
      </c>
    </row>
    <row r="6" spans="1:13" x14ac:dyDescent="0.3">
      <c r="A6" t="s">
        <v>98</v>
      </c>
      <c r="B6" t="s">
        <v>99</v>
      </c>
      <c r="C6" t="s">
        <v>21</v>
      </c>
      <c r="D6" t="s">
        <v>21</v>
      </c>
      <c r="E6">
        <v>11</v>
      </c>
      <c r="F6" s="1" t="s">
        <v>100</v>
      </c>
      <c r="G6" s="1" t="s">
        <v>101</v>
      </c>
      <c r="H6" s="1" t="s">
        <v>102</v>
      </c>
      <c r="I6">
        <v>2.3238286E-2</v>
      </c>
      <c r="J6" s="1" t="s">
        <v>103</v>
      </c>
      <c r="K6">
        <v>3</v>
      </c>
      <c r="L6">
        <v>3</v>
      </c>
      <c r="M6" t="str">
        <f t="shared" si="0"/>
        <v>Agreement</v>
      </c>
    </row>
    <row r="7" spans="1:13" x14ac:dyDescent="0.3">
      <c r="A7" t="s">
        <v>114</v>
      </c>
      <c r="B7" t="s">
        <v>115</v>
      </c>
      <c r="C7" t="s">
        <v>21</v>
      </c>
      <c r="D7" t="s">
        <v>21</v>
      </c>
      <c r="E7">
        <v>11</v>
      </c>
      <c r="F7" s="1" t="s">
        <v>116</v>
      </c>
      <c r="G7" s="1" t="s">
        <v>117</v>
      </c>
      <c r="H7" s="1" t="s">
        <v>118</v>
      </c>
      <c r="I7">
        <v>1.2179966E-2</v>
      </c>
      <c r="J7">
        <v>0.98782002899999999</v>
      </c>
      <c r="K7">
        <v>3</v>
      </c>
      <c r="L7">
        <v>3</v>
      </c>
      <c r="M7" t="str">
        <f t="shared" si="0"/>
        <v>Agreement</v>
      </c>
    </row>
    <row r="8" spans="1:13" x14ac:dyDescent="0.3">
      <c r="A8" t="s">
        <v>395</v>
      </c>
      <c r="B8" t="s">
        <v>396</v>
      </c>
      <c r="C8" t="s">
        <v>21</v>
      </c>
      <c r="D8" t="s">
        <v>21</v>
      </c>
      <c r="E8">
        <v>11</v>
      </c>
      <c r="F8">
        <v>9.0428660000000001E-3</v>
      </c>
      <c r="G8" s="1" t="s">
        <v>230</v>
      </c>
      <c r="H8">
        <v>8.3247699999999998E-4</v>
      </c>
      <c r="I8" s="1" t="s">
        <v>397</v>
      </c>
      <c r="J8" s="1" t="s">
        <v>398</v>
      </c>
      <c r="K8">
        <v>3</v>
      </c>
      <c r="L8">
        <v>3</v>
      </c>
      <c r="M8" t="str">
        <f t="shared" si="0"/>
        <v>Agreement</v>
      </c>
    </row>
    <row r="9" spans="1:13" x14ac:dyDescent="0.3">
      <c r="A9" t="s">
        <v>471</v>
      </c>
      <c r="B9" t="s">
        <v>472</v>
      </c>
      <c r="C9" t="s">
        <v>21</v>
      </c>
      <c r="D9" t="s">
        <v>21</v>
      </c>
      <c r="E9">
        <v>11</v>
      </c>
      <c r="F9">
        <v>3.4520034999999998E-2</v>
      </c>
      <c r="G9" s="1" t="s">
        <v>473</v>
      </c>
      <c r="H9">
        <v>5.8850799999999996E-4</v>
      </c>
      <c r="I9">
        <v>7.1524499999999999E-4</v>
      </c>
      <c r="J9" s="1" t="s">
        <v>474</v>
      </c>
      <c r="K9">
        <v>3</v>
      </c>
      <c r="L9">
        <v>3</v>
      </c>
      <c r="M9" t="str">
        <f t="shared" si="0"/>
        <v>Agreement</v>
      </c>
    </row>
    <row r="10" spans="1:13" x14ac:dyDescent="0.3">
      <c r="A10" t="s">
        <v>40</v>
      </c>
      <c r="B10" t="s">
        <v>41</v>
      </c>
      <c r="C10" t="s">
        <v>21</v>
      </c>
      <c r="D10" t="s">
        <v>21</v>
      </c>
      <c r="E10">
        <v>10</v>
      </c>
      <c r="F10" s="1" t="s">
        <v>42</v>
      </c>
      <c r="G10" s="1" t="s">
        <v>43</v>
      </c>
      <c r="H10" s="1" t="s">
        <v>44</v>
      </c>
      <c r="I10" s="1" t="s">
        <v>45</v>
      </c>
      <c r="J10" s="1" t="s">
        <v>46</v>
      </c>
      <c r="K10">
        <v>3</v>
      </c>
      <c r="L10">
        <v>3</v>
      </c>
      <c r="M10" t="str">
        <f t="shared" si="0"/>
        <v>Agreement</v>
      </c>
    </row>
    <row r="11" spans="1:13" x14ac:dyDescent="0.3">
      <c r="A11" t="s">
        <v>123</v>
      </c>
      <c r="B11" t="s">
        <v>124</v>
      </c>
      <c r="C11" t="s">
        <v>21</v>
      </c>
      <c r="D11" t="s">
        <v>21</v>
      </c>
      <c r="E11">
        <v>10</v>
      </c>
      <c r="F11" s="1" t="s">
        <v>125</v>
      </c>
      <c r="G11" s="1" t="s">
        <v>126</v>
      </c>
      <c r="H11" s="1" t="s">
        <v>127</v>
      </c>
      <c r="I11" s="1" t="s">
        <v>128</v>
      </c>
      <c r="J11">
        <v>0.97671800900000005</v>
      </c>
      <c r="K11">
        <v>3</v>
      </c>
      <c r="L11">
        <v>3</v>
      </c>
      <c r="M11" t="str">
        <f t="shared" si="0"/>
        <v>Agreement</v>
      </c>
    </row>
    <row r="12" spans="1:13" x14ac:dyDescent="0.3">
      <c r="A12" t="s">
        <v>164</v>
      </c>
      <c r="B12" t="s">
        <v>165</v>
      </c>
      <c r="C12" t="s">
        <v>21</v>
      </c>
      <c r="D12" t="s">
        <v>21</v>
      </c>
      <c r="E12">
        <v>10</v>
      </c>
      <c r="F12">
        <v>5.1024196000000001E-2</v>
      </c>
      <c r="G12" s="1" t="s">
        <v>166</v>
      </c>
      <c r="H12" s="1" t="s">
        <v>167</v>
      </c>
      <c r="I12">
        <v>5.6432745999999999E-2</v>
      </c>
      <c r="J12" s="1" t="s">
        <v>168</v>
      </c>
      <c r="K12">
        <v>3</v>
      </c>
      <c r="L12">
        <v>3</v>
      </c>
      <c r="M12" t="str">
        <f t="shared" si="0"/>
        <v>Agreement</v>
      </c>
    </row>
    <row r="13" spans="1:13" x14ac:dyDescent="0.3">
      <c r="A13" t="s">
        <v>189</v>
      </c>
      <c r="B13" t="s">
        <v>190</v>
      </c>
      <c r="C13" t="s">
        <v>21</v>
      </c>
      <c r="D13" t="s">
        <v>21</v>
      </c>
      <c r="E13">
        <v>9</v>
      </c>
      <c r="F13" s="1" t="s">
        <v>191</v>
      </c>
      <c r="G13" s="1" t="s">
        <v>192</v>
      </c>
      <c r="H13" s="1" t="s">
        <v>193</v>
      </c>
      <c r="I13">
        <v>7.0931575999999996E-2</v>
      </c>
      <c r="J13" s="1" t="s">
        <v>194</v>
      </c>
      <c r="K13">
        <v>3</v>
      </c>
      <c r="L13">
        <v>3</v>
      </c>
      <c r="M13" t="str">
        <f t="shared" si="0"/>
        <v>Agreement</v>
      </c>
    </row>
    <row r="14" spans="1:13" x14ac:dyDescent="0.3">
      <c r="A14" t="s">
        <v>291</v>
      </c>
      <c r="B14" t="s">
        <v>292</v>
      </c>
      <c r="C14" t="s">
        <v>21</v>
      </c>
      <c r="D14" t="s">
        <v>21</v>
      </c>
      <c r="E14">
        <v>9</v>
      </c>
      <c r="F14" s="1" t="s">
        <v>293</v>
      </c>
      <c r="G14" s="1" t="s">
        <v>294</v>
      </c>
      <c r="H14" s="1" t="s">
        <v>295</v>
      </c>
      <c r="I14" s="1" t="s">
        <v>296</v>
      </c>
      <c r="J14" s="1" t="s">
        <v>297</v>
      </c>
      <c r="K14">
        <v>3</v>
      </c>
      <c r="L14">
        <v>3</v>
      </c>
      <c r="M14" t="str">
        <f t="shared" si="0"/>
        <v>Agreement</v>
      </c>
    </row>
    <row r="15" spans="1:13" x14ac:dyDescent="0.3">
      <c r="A15" t="s">
        <v>310</v>
      </c>
      <c r="B15" t="s">
        <v>311</v>
      </c>
      <c r="C15" t="s">
        <v>21</v>
      </c>
      <c r="D15" t="s">
        <v>21</v>
      </c>
      <c r="E15">
        <v>9</v>
      </c>
      <c r="F15">
        <v>2.9032139999999999E-3</v>
      </c>
      <c r="G15" s="1" t="s">
        <v>77</v>
      </c>
      <c r="H15" s="1" t="s">
        <v>312</v>
      </c>
      <c r="I15">
        <v>8.8197120000000004E-3</v>
      </c>
      <c r="J15" s="1" t="s">
        <v>313</v>
      </c>
      <c r="K15">
        <v>3</v>
      </c>
      <c r="L15">
        <v>3</v>
      </c>
      <c r="M15" t="str">
        <f t="shared" si="0"/>
        <v>Agreement</v>
      </c>
    </row>
    <row r="16" spans="1:13" x14ac:dyDescent="0.3">
      <c r="A16" t="s">
        <v>405</v>
      </c>
      <c r="B16" t="s">
        <v>406</v>
      </c>
      <c r="C16" t="s">
        <v>21</v>
      </c>
      <c r="D16" t="s">
        <v>21</v>
      </c>
      <c r="E16">
        <v>9</v>
      </c>
      <c r="F16">
        <v>2.8472126E-2</v>
      </c>
      <c r="G16" s="1" t="s">
        <v>379</v>
      </c>
      <c r="H16" s="1" t="s">
        <v>407</v>
      </c>
      <c r="I16" s="1" t="s">
        <v>408</v>
      </c>
      <c r="J16" s="1" t="s">
        <v>409</v>
      </c>
      <c r="K16">
        <v>3</v>
      </c>
      <c r="L16">
        <v>3</v>
      </c>
      <c r="M16" t="str">
        <f t="shared" si="0"/>
        <v>Agreement</v>
      </c>
    </row>
    <row r="17" spans="1:13" x14ac:dyDescent="0.3">
      <c r="A17" t="s">
        <v>447</v>
      </c>
      <c r="B17" t="s">
        <v>448</v>
      </c>
      <c r="C17" t="s">
        <v>21</v>
      </c>
      <c r="D17" t="s">
        <v>21</v>
      </c>
      <c r="E17">
        <v>9</v>
      </c>
      <c r="F17" s="1" t="s">
        <v>449</v>
      </c>
      <c r="G17" s="1" t="s">
        <v>450</v>
      </c>
      <c r="H17" s="1" t="s">
        <v>451</v>
      </c>
      <c r="I17">
        <v>7.9017058000000001E-2</v>
      </c>
      <c r="J17" s="1" t="s">
        <v>452</v>
      </c>
      <c r="K17">
        <v>3</v>
      </c>
      <c r="L17">
        <v>3</v>
      </c>
      <c r="M17" t="str">
        <f t="shared" si="0"/>
        <v>Agreement</v>
      </c>
    </row>
    <row r="18" spans="1:13" x14ac:dyDescent="0.3">
      <c r="A18" t="s">
        <v>151</v>
      </c>
      <c r="B18" t="s">
        <v>152</v>
      </c>
      <c r="C18" t="s">
        <v>21</v>
      </c>
      <c r="D18" t="s">
        <v>21</v>
      </c>
      <c r="E18">
        <v>8</v>
      </c>
      <c r="F18">
        <v>4.2465388999999999E-2</v>
      </c>
      <c r="G18" s="1" t="s">
        <v>153</v>
      </c>
      <c r="H18" s="1" t="s">
        <v>154</v>
      </c>
      <c r="I18">
        <v>6.7844934999999995E-2</v>
      </c>
      <c r="J18">
        <v>0.93215227099999998</v>
      </c>
      <c r="K18">
        <v>3</v>
      </c>
      <c r="L18">
        <v>3</v>
      </c>
      <c r="M18" t="str">
        <f t="shared" si="0"/>
        <v>Agreement</v>
      </c>
    </row>
    <row r="19" spans="1:13" x14ac:dyDescent="0.3">
      <c r="A19" t="s">
        <v>330</v>
      </c>
      <c r="B19" t="s">
        <v>331</v>
      </c>
      <c r="C19" t="s">
        <v>21</v>
      </c>
      <c r="D19" t="s">
        <v>21</v>
      </c>
      <c r="E19">
        <v>8</v>
      </c>
      <c r="F19" s="1" t="s">
        <v>332</v>
      </c>
      <c r="G19" s="1" t="s">
        <v>333</v>
      </c>
      <c r="H19" s="1" t="s">
        <v>334</v>
      </c>
      <c r="I19">
        <v>7.4255809000000006E-2</v>
      </c>
      <c r="J19" s="1" t="s">
        <v>335</v>
      </c>
      <c r="K19">
        <v>3</v>
      </c>
      <c r="L19">
        <v>3</v>
      </c>
      <c r="M19" t="str">
        <f t="shared" si="0"/>
        <v>Agreement</v>
      </c>
    </row>
    <row r="20" spans="1:13" x14ac:dyDescent="0.3">
      <c r="A20" t="s">
        <v>370</v>
      </c>
      <c r="B20" t="s">
        <v>371</v>
      </c>
      <c r="C20" t="s">
        <v>21</v>
      </c>
      <c r="D20" t="s">
        <v>21</v>
      </c>
      <c r="E20">
        <v>8</v>
      </c>
      <c r="F20" s="1" t="s">
        <v>372</v>
      </c>
      <c r="G20" s="1" t="s">
        <v>373</v>
      </c>
      <c r="H20" s="1" t="s">
        <v>374</v>
      </c>
      <c r="I20" s="1" t="s">
        <v>375</v>
      </c>
      <c r="J20" s="1" t="s">
        <v>376</v>
      </c>
      <c r="K20">
        <v>3</v>
      </c>
      <c r="L20">
        <v>3</v>
      </c>
      <c r="M20" t="str">
        <f t="shared" si="0"/>
        <v>Agreement</v>
      </c>
    </row>
    <row r="21" spans="1:13" x14ac:dyDescent="0.3">
      <c r="A21" t="s">
        <v>428</v>
      </c>
      <c r="B21" t="s">
        <v>429</v>
      </c>
      <c r="C21" t="s">
        <v>21</v>
      </c>
      <c r="D21" t="s">
        <v>21</v>
      </c>
      <c r="E21">
        <v>8</v>
      </c>
      <c r="F21">
        <v>4.1691130000000003E-3</v>
      </c>
      <c r="G21">
        <v>7.6335880000000002E-3</v>
      </c>
      <c r="H21" s="1" t="s">
        <v>430</v>
      </c>
      <c r="I21">
        <v>0.11529541</v>
      </c>
      <c r="J21" s="1" t="s">
        <v>431</v>
      </c>
      <c r="K21">
        <v>3</v>
      </c>
      <c r="L21">
        <v>3</v>
      </c>
      <c r="M21" t="str">
        <f t="shared" si="0"/>
        <v>Agreement</v>
      </c>
    </row>
    <row r="22" spans="1:13" x14ac:dyDescent="0.3">
      <c r="A22" t="s">
        <v>83</v>
      </c>
      <c r="B22" t="s">
        <v>84</v>
      </c>
      <c r="C22" t="s">
        <v>21</v>
      </c>
      <c r="D22" t="s">
        <v>21</v>
      </c>
      <c r="E22">
        <v>7</v>
      </c>
      <c r="F22" s="1" t="s">
        <v>85</v>
      </c>
      <c r="G22" s="1" t="s">
        <v>86</v>
      </c>
      <c r="H22" s="1" t="s">
        <v>87</v>
      </c>
      <c r="I22">
        <v>2.3417667E-2</v>
      </c>
      <c r="J22" s="1" t="s">
        <v>88</v>
      </c>
      <c r="K22">
        <v>3</v>
      </c>
      <c r="L22">
        <v>3</v>
      </c>
      <c r="M22" t="str">
        <f t="shared" si="0"/>
        <v>Agreement</v>
      </c>
    </row>
    <row r="23" spans="1:13" x14ac:dyDescent="0.3">
      <c r="A23" t="s">
        <v>141</v>
      </c>
      <c r="B23" t="s">
        <v>142</v>
      </c>
      <c r="C23" t="s">
        <v>21</v>
      </c>
      <c r="D23" t="s">
        <v>21</v>
      </c>
      <c r="E23">
        <v>7</v>
      </c>
      <c r="F23" s="1" t="s">
        <v>143</v>
      </c>
      <c r="G23" s="1" t="s">
        <v>144</v>
      </c>
      <c r="H23" s="1" t="s">
        <v>145</v>
      </c>
      <c r="I23">
        <v>4.4467299999999998E-4</v>
      </c>
      <c r="J23" s="1" t="s">
        <v>146</v>
      </c>
      <c r="K23">
        <v>3</v>
      </c>
      <c r="L23">
        <v>3</v>
      </c>
      <c r="M23" t="str">
        <f t="shared" si="0"/>
        <v>Agreement</v>
      </c>
    </row>
    <row r="24" spans="1:13" x14ac:dyDescent="0.3">
      <c r="A24" t="s">
        <v>147</v>
      </c>
      <c r="B24" t="s">
        <v>148</v>
      </c>
      <c r="C24" t="s">
        <v>21</v>
      </c>
      <c r="D24" t="s">
        <v>21</v>
      </c>
      <c r="E24">
        <v>7</v>
      </c>
      <c r="F24" s="1" t="s">
        <v>149</v>
      </c>
      <c r="G24">
        <v>9.5909179999999997E-2</v>
      </c>
      <c r="H24">
        <v>1.1646E-3</v>
      </c>
      <c r="I24">
        <v>4.1951402999999998E-2</v>
      </c>
      <c r="J24" s="1" t="s">
        <v>150</v>
      </c>
      <c r="K24">
        <v>3</v>
      </c>
      <c r="L24">
        <v>3</v>
      </c>
      <c r="M24" t="str">
        <f t="shared" si="0"/>
        <v>Agreement</v>
      </c>
    </row>
    <row r="25" spans="1:13" x14ac:dyDescent="0.3">
      <c r="A25" t="s">
        <v>216</v>
      </c>
      <c r="B25" t="s">
        <v>217</v>
      </c>
      <c r="C25" t="s">
        <v>21</v>
      </c>
      <c r="D25" t="s">
        <v>21</v>
      </c>
      <c r="E25">
        <v>7</v>
      </c>
      <c r="F25" s="1" t="s">
        <v>218</v>
      </c>
      <c r="G25" s="1" t="s">
        <v>219</v>
      </c>
      <c r="H25" s="1" t="s">
        <v>220</v>
      </c>
      <c r="I25" s="1" t="s">
        <v>221</v>
      </c>
      <c r="J25" s="1" t="s">
        <v>222</v>
      </c>
      <c r="K25">
        <v>3</v>
      </c>
      <c r="L25">
        <v>3</v>
      </c>
      <c r="M25" t="str">
        <f t="shared" si="0"/>
        <v>Agreement</v>
      </c>
    </row>
    <row r="26" spans="1:13" x14ac:dyDescent="0.3">
      <c r="A26" t="s">
        <v>358</v>
      </c>
      <c r="B26" t="s">
        <v>359</v>
      </c>
      <c r="C26" t="s">
        <v>21</v>
      </c>
      <c r="D26" t="s">
        <v>21</v>
      </c>
      <c r="E26">
        <v>7</v>
      </c>
      <c r="F26">
        <v>1.346908E-3</v>
      </c>
      <c r="G26" s="1" t="s">
        <v>230</v>
      </c>
      <c r="H26" s="1" t="s">
        <v>360</v>
      </c>
      <c r="I26" s="1" t="s">
        <v>361</v>
      </c>
      <c r="J26" s="1" t="s">
        <v>362</v>
      </c>
      <c r="K26">
        <v>3</v>
      </c>
      <c r="L26">
        <v>3</v>
      </c>
      <c r="M26" t="str">
        <f t="shared" si="0"/>
        <v>Agreement</v>
      </c>
    </row>
    <row r="27" spans="1:13" x14ac:dyDescent="0.3">
      <c r="A27" t="s">
        <v>129</v>
      </c>
      <c r="B27" t="s">
        <v>130</v>
      </c>
      <c r="C27" t="s">
        <v>21</v>
      </c>
      <c r="D27" t="s">
        <v>21</v>
      </c>
      <c r="E27">
        <v>6</v>
      </c>
      <c r="F27">
        <v>9.1851759999999998E-3</v>
      </c>
      <c r="G27" s="1" t="s">
        <v>131</v>
      </c>
      <c r="H27" s="1" t="s">
        <v>132</v>
      </c>
      <c r="I27">
        <v>3.8142326999999997E-2</v>
      </c>
      <c r="J27" s="1" t="s">
        <v>133</v>
      </c>
      <c r="K27">
        <v>3</v>
      </c>
      <c r="L27">
        <v>3</v>
      </c>
      <c r="M27" t="str">
        <f t="shared" si="0"/>
        <v>Agreement</v>
      </c>
    </row>
    <row r="28" spans="1:13" x14ac:dyDescent="0.3">
      <c r="A28" t="s">
        <v>223</v>
      </c>
      <c r="B28" t="s">
        <v>224</v>
      </c>
      <c r="C28" t="s">
        <v>21</v>
      </c>
      <c r="D28" t="s">
        <v>21</v>
      </c>
      <c r="E28">
        <v>6</v>
      </c>
      <c r="F28">
        <v>1.7557163000000001E-2</v>
      </c>
      <c r="G28" s="1" t="s">
        <v>225</v>
      </c>
      <c r="H28">
        <v>2.7863399999999999E-4</v>
      </c>
      <c r="I28" s="1" t="s">
        <v>226</v>
      </c>
      <c r="J28" s="1" t="s">
        <v>227</v>
      </c>
      <c r="K28">
        <v>3</v>
      </c>
      <c r="L28">
        <v>3</v>
      </c>
      <c r="M28" t="str">
        <f t="shared" si="0"/>
        <v>Agreement</v>
      </c>
    </row>
    <row r="29" spans="1:13" x14ac:dyDescent="0.3">
      <c r="A29" t="s">
        <v>233</v>
      </c>
      <c r="B29" t="s">
        <v>234</v>
      </c>
      <c r="C29" t="s">
        <v>21</v>
      </c>
      <c r="D29" t="s">
        <v>21</v>
      </c>
      <c r="E29">
        <v>6</v>
      </c>
      <c r="F29" s="1" t="s">
        <v>235</v>
      </c>
      <c r="G29" s="1" t="s">
        <v>236</v>
      </c>
      <c r="H29">
        <v>4.3585159999999998E-3</v>
      </c>
      <c r="I29" s="1" t="s">
        <v>237</v>
      </c>
      <c r="J29" s="1" t="s">
        <v>238</v>
      </c>
      <c r="K29">
        <v>3</v>
      </c>
      <c r="L29">
        <v>3</v>
      </c>
      <c r="M29" t="str">
        <f t="shared" si="0"/>
        <v>Agreement</v>
      </c>
    </row>
    <row r="30" spans="1:13" x14ac:dyDescent="0.3">
      <c r="A30" t="s">
        <v>302</v>
      </c>
      <c r="B30" t="s">
        <v>303</v>
      </c>
      <c r="C30" t="s">
        <v>21</v>
      </c>
      <c r="D30" t="s">
        <v>21</v>
      </c>
      <c r="E30">
        <v>6</v>
      </c>
      <c r="F30">
        <v>6.232273E-3</v>
      </c>
      <c r="G30" s="1" t="s">
        <v>304</v>
      </c>
      <c r="H30">
        <v>8.9104860999999994E-2</v>
      </c>
      <c r="I30">
        <v>8.4895319999999996E-2</v>
      </c>
      <c r="J30" s="1" t="s">
        <v>305</v>
      </c>
      <c r="K30">
        <v>3</v>
      </c>
      <c r="L30">
        <v>3</v>
      </c>
      <c r="M30" t="str">
        <f t="shared" si="0"/>
        <v>Agreement</v>
      </c>
    </row>
    <row r="31" spans="1:13" x14ac:dyDescent="0.3">
      <c r="A31" t="s">
        <v>319</v>
      </c>
      <c r="B31" t="s">
        <v>320</v>
      </c>
      <c r="C31" t="s">
        <v>21</v>
      </c>
      <c r="D31" t="s">
        <v>21</v>
      </c>
      <c r="E31">
        <v>6</v>
      </c>
      <c r="F31">
        <v>5.7741200000000002E-4</v>
      </c>
      <c r="G31" s="1" t="s">
        <v>230</v>
      </c>
      <c r="H31" s="1" t="s">
        <v>321</v>
      </c>
      <c r="I31" s="1" t="s">
        <v>322</v>
      </c>
      <c r="J31" s="1" t="s">
        <v>323</v>
      </c>
      <c r="K31">
        <v>3</v>
      </c>
      <c r="L31">
        <v>3</v>
      </c>
      <c r="M31" t="str">
        <f t="shared" si="0"/>
        <v>Agreement</v>
      </c>
    </row>
    <row r="32" spans="1:13" x14ac:dyDescent="0.3">
      <c r="A32" t="s">
        <v>413</v>
      </c>
      <c r="B32" t="s">
        <v>414</v>
      </c>
      <c r="C32" t="s">
        <v>21</v>
      </c>
      <c r="D32" t="s">
        <v>21</v>
      </c>
      <c r="E32">
        <v>6</v>
      </c>
      <c r="F32" s="1" t="s">
        <v>415</v>
      </c>
      <c r="G32">
        <v>9.4218086000000006E-2</v>
      </c>
      <c r="H32" s="1" t="s">
        <v>416</v>
      </c>
      <c r="I32" s="1" t="s">
        <v>417</v>
      </c>
      <c r="J32">
        <v>0.48543050900000001</v>
      </c>
      <c r="K32">
        <v>3</v>
      </c>
      <c r="L32">
        <v>3</v>
      </c>
      <c r="M32" t="str">
        <f t="shared" si="0"/>
        <v>Agreement</v>
      </c>
    </row>
    <row r="33" spans="1:13" x14ac:dyDescent="0.3">
      <c r="A33" t="s">
        <v>346</v>
      </c>
      <c r="B33" t="s">
        <v>347</v>
      </c>
      <c r="C33" t="s">
        <v>21</v>
      </c>
      <c r="D33" t="s">
        <v>15</v>
      </c>
      <c r="E33">
        <v>6</v>
      </c>
      <c r="F33">
        <v>2.3488E-4</v>
      </c>
      <c r="G33">
        <v>7.6335880000000002E-3</v>
      </c>
      <c r="H33" s="1" t="s">
        <v>348</v>
      </c>
      <c r="I33" s="1" t="s">
        <v>349</v>
      </c>
      <c r="J33">
        <v>9.0729720999999999E-2</v>
      </c>
      <c r="K33">
        <v>3</v>
      </c>
      <c r="L33">
        <v>1</v>
      </c>
      <c r="M33" t="str">
        <f t="shared" si="0"/>
        <v>Disagreement</v>
      </c>
    </row>
    <row r="34" spans="1:13" x14ac:dyDescent="0.3">
      <c r="A34" t="s">
        <v>174</v>
      </c>
      <c r="B34" t="s">
        <v>175</v>
      </c>
      <c r="C34" t="s">
        <v>21</v>
      </c>
      <c r="D34" t="s">
        <v>21</v>
      </c>
      <c r="E34">
        <v>5</v>
      </c>
      <c r="F34">
        <v>0</v>
      </c>
      <c r="G34" s="1" t="s">
        <v>176</v>
      </c>
      <c r="H34">
        <v>8.6122649999999992E-3</v>
      </c>
      <c r="I34" s="1" t="s">
        <v>177</v>
      </c>
      <c r="J34" s="1" t="s">
        <v>178</v>
      </c>
      <c r="K34">
        <v>3</v>
      </c>
      <c r="L34">
        <v>3</v>
      </c>
      <c r="M34" t="str">
        <f t="shared" ref="M34:M65" si="1">IF(C34=D34,"Agreement","Disagreement")</f>
        <v>Agreement</v>
      </c>
    </row>
    <row r="35" spans="1:13" x14ac:dyDescent="0.3">
      <c r="A35" t="s">
        <v>212</v>
      </c>
      <c r="B35" t="s">
        <v>213</v>
      </c>
      <c r="C35" t="s">
        <v>21</v>
      </c>
      <c r="D35" t="s">
        <v>21</v>
      </c>
      <c r="E35">
        <v>5</v>
      </c>
      <c r="F35">
        <v>2.5478272999999999E-2</v>
      </c>
      <c r="G35" s="1" t="s">
        <v>153</v>
      </c>
      <c r="H35">
        <v>1.2491800000000001E-4</v>
      </c>
      <c r="I35" s="1" t="s">
        <v>214</v>
      </c>
      <c r="J35" s="1" t="s">
        <v>215</v>
      </c>
      <c r="K35">
        <v>3</v>
      </c>
      <c r="L35">
        <v>3</v>
      </c>
      <c r="M35" t="str">
        <f t="shared" si="1"/>
        <v>Agreement</v>
      </c>
    </row>
    <row r="36" spans="1:13" x14ac:dyDescent="0.3">
      <c r="A36" t="s">
        <v>555</v>
      </c>
      <c r="B36" t="s">
        <v>556</v>
      </c>
      <c r="C36" t="s">
        <v>21</v>
      </c>
      <c r="D36" t="s">
        <v>21</v>
      </c>
      <c r="E36">
        <v>5</v>
      </c>
      <c r="F36">
        <v>8.8948480000000003E-3</v>
      </c>
      <c r="G36" s="1" t="s">
        <v>153</v>
      </c>
      <c r="H36" s="1" t="s">
        <v>557</v>
      </c>
      <c r="I36" s="1" t="s">
        <v>558</v>
      </c>
      <c r="J36" s="1" t="s">
        <v>559</v>
      </c>
      <c r="K36">
        <v>3</v>
      </c>
      <c r="L36">
        <v>3</v>
      </c>
      <c r="M36" t="str">
        <f t="shared" si="1"/>
        <v>Agreement</v>
      </c>
    </row>
    <row r="37" spans="1:13" x14ac:dyDescent="0.3">
      <c r="A37" t="s">
        <v>93</v>
      </c>
      <c r="B37" t="s">
        <v>94</v>
      </c>
      <c r="C37" t="s">
        <v>21</v>
      </c>
      <c r="D37" t="s">
        <v>15</v>
      </c>
      <c r="E37">
        <v>5</v>
      </c>
      <c r="F37">
        <v>2.0226021E-2</v>
      </c>
      <c r="G37">
        <v>3.4004164000000003E-2</v>
      </c>
      <c r="H37" s="1" t="s">
        <v>95</v>
      </c>
      <c r="I37" s="1" t="s">
        <v>96</v>
      </c>
      <c r="J37" s="1" t="s">
        <v>97</v>
      </c>
      <c r="K37">
        <v>3</v>
      </c>
      <c r="L37">
        <v>1</v>
      </c>
      <c r="M37" t="str">
        <f t="shared" si="1"/>
        <v>Disagreement</v>
      </c>
    </row>
    <row r="38" spans="1:13" x14ac:dyDescent="0.3">
      <c r="A38" t="s">
        <v>341</v>
      </c>
      <c r="B38" t="s">
        <v>342</v>
      </c>
      <c r="C38" t="s">
        <v>21</v>
      </c>
      <c r="D38" t="s">
        <v>15</v>
      </c>
      <c r="E38">
        <v>5</v>
      </c>
      <c r="F38">
        <v>0</v>
      </c>
      <c r="G38">
        <v>0</v>
      </c>
      <c r="H38" s="1" t="s">
        <v>343</v>
      </c>
      <c r="I38" s="1" t="s">
        <v>344</v>
      </c>
      <c r="J38" s="1" t="s">
        <v>345</v>
      </c>
      <c r="K38">
        <v>3</v>
      </c>
      <c r="L38">
        <v>1</v>
      </c>
      <c r="M38" t="str">
        <f t="shared" si="1"/>
        <v>Disagreement</v>
      </c>
    </row>
    <row r="39" spans="1:13" x14ac:dyDescent="0.3">
      <c r="A39" t="s">
        <v>19</v>
      </c>
      <c r="B39" t="s">
        <v>20</v>
      </c>
      <c r="C39" t="s">
        <v>14</v>
      </c>
      <c r="D39" t="s">
        <v>21</v>
      </c>
      <c r="E39">
        <v>4</v>
      </c>
      <c r="F39">
        <v>6.0187900000000004E-3</v>
      </c>
      <c r="G39" s="1" t="s">
        <v>22</v>
      </c>
      <c r="H39" s="1" t="s">
        <v>23</v>
      </c>
      <c r="I39" s="1" t="s">
        <v>24</v>
      </c>
      <c r="J39" s="1" t="s">
        <v>25</v>
      </c>
      <c r="K39">
        <v>2</v>
      </c>
      <c r="L39">
        <v>3</v>
      </c>
      <c r="M39" t="str">
        <f t="shared" si="1"/>
        <v>Disagreement</v>
      </c>
    </row>
    <row r="40" spans="1:13" x14ac:dyDescent="0.3">
      <c r="A40" t="s">
        <v>252</v>
      </c>
      <c r="B40" t="s">
        <v>253</v>
      </c>
      <c r="C40" t="s">
        <v>14</v>
      </c>
      <c r="D40" t="s">
        <v>21</v>
      </c>
      <c r="E40">
        <v>4</v>
      </c>
      <c r="F40">
        <v>2.7745159999999999E-3</v>
      </c>
      <c r="G40" s="1" t="s">
        <v>254</v>
      </c>
      <c r="H40">
        <v>4.010741E-3</v>
      </c>
      <c r="I40" s="1" t="s">
        <v>255</v>
      </c>
      <c r="J40" s="1" t="s">
        <v>256</v>
      </c>
      <c r="K40">
        <v>2</v>
      </c>
      <c r="L40">
        <v>3</v>
      </c>
      <c r="M40" t="str">
        <f t="shared" si="1"/>
        <v>Disagreement</v>
      </c>
    </row>
    <row r="41" spans="1:13" x14ac:dyDescent="0.3">
      <c r="A41" t="s">
        <v>269</v>
      </c>
      <c r="B41" t="s">
        <v>270</v>
      </c>
      <c r="C41" t="s">
        <v>21</v>
      </c>
      <c r="D41" t="s">
        <v>21</v>
      </c>
      <c r="E41">
        <v>4</v>
      </c>
      <c r="F41" s="1" t="s">
        <v>271</v>
      </c>
      <c r="G41" s="1" t="s">
        <v>86</v>
      </c>
      <c r="H41">
        <v>3.3625499999999998E-4</v>
      </c>
      <c r="I41" s="1" t="s">
        <v>272</v>
      </c>
      <c r="J41" s="1" t="s">
        <v>273</v>
      </c>
      <c r="K41">
        <v>3</v>
      </c>
      <c r="L41">
        <v>3</v>
      </c>
      <c r="M41" t="str">
        <f t="shared" si="1"/>
        <v>Agreement</v>
      </c>
    </row>
    <row r="42" spans="1:13" x14ac:dyDescent="0.3">
      <c r="A42" t="s">
        <v>274</v>
      </c>
      <c r="B42" t="s">
        <v>275</v>
      </c>
      <c r="C42" t="s">
        <v>14</v>
      </c>
      <c r="D42" t="s">
        <v>21</v>
      </c>
      <c r="E42">
        <v>4</v>
      </c>
      <c r="F42">
        <v>0</v>
      </c>
      <c r="G42">
        <v>0</v>
      </c>
      <c r="H42">
        <v>2.0760200000000001E-4</v>
      </c>
      <c r="I42" s="1" t="s">
        <v>276</v>
      </c>
      <c r="J42" s="1" t="s">
        <v>277</v>
      </c>
      <c r="K42">
        <v>2</v>
      </c>
      <c r="L42">
        <v>3</v>
      </c>
      <c r="M42" t="str">
        <f t="shared" si="1"/>
        <v>Disagreement</v>
      </c>
    </row>
    <row r="43" spans="1:13" x14ac:dyDescent="0.3">
      <c r="A43" t="s">
        <v>314</v>
      </c>
      <c r="B43" t="s">
        <v>315</v>
      </c>
      <c r="C43" t="s">
        <v>14</v>
      </c>
      <c r="D43" t="s">
        <v>21</v>
      </c>
      <c r="E43">
        <v>4</v>
      </c>
      <c r="F43">
        <v>0</v>
      </c>
      <c r="G43" s="1" t="s">
        <v>316</v>
      </c>
      <c r="H43">
        <v>1.9201600000000001E-4</v>
      </c>
      <c r="I43" s="1" t="s">
        <v>317</v>
      </c>
      <c r="J43" s="1" t="s">
        <v>318</v>
      </c>
      <c r="K43">
        <v>2</v>
      </c>
      <c r="L43">
        <v>3</v>
      </c>
      <c r="M43" t="str">
        <f t="shared" si="1"/>
        <v>Disagreement</v>
      </c>
    </row>
    <row r="44" spans="1:13" x14ac:dyDescent="0.3">
      <c r="A44" t="s">
        <v>354</v>
      </c>
      <c r="B44" t="s">
        <v>355</v>
      </c>
      <c r="C44" t="s">
        <v>14</v>
      </c>
      <c r="D44" t="s">
        <v>21</v>
      </c>
      <c r="E44">
        <v>4</v>
      </c>
      <c r="F44">
        <v>0</v>
      </c>
      <c r="G44">
        <v>0</v>
      </c>
      <c r="H44" s="1" t="s">
        <v>356</v>
      </c>
      <c r="I44">
        <v>6.7459828999999999E-2</v>
      </c>
      <c r="J44" s="1" t="s">
        <v>357</v>
      </c>
      <c r="K44">
        <v>2</v>
      </c>
      <c r="L44">
        <v>3</v>
      </c>
      <c r="M44" t="str">
        <f t="shared" si="1"/>
        <v>Disagreement</v>
      </c>
    </row>
    <row r="45" spans="1:13" x14ac:dyDescent="0.3">
      <c r="A45" t="s">
        <v>436</v>
      </c>
      <c r="B45" t="s">
        <v>437</v>
      </c>
      <c r="C45" t="s">
        <v>14</v>
      </c>
      <c r="D45" t="s">
        <v>21</v>
      </c>
      <c r="E45">
        <v>4</v>
      </c>
      <c r="F45">
        <v>1.1920139999999999E-3</v>
      </c>
      <c r="G45" s="1" t="s">
        <v>438</v>
      </c>
      <c r="H45" s="1" t="s">
        <v>439</v>
      </c>
      <c r="I45" s="1" t="s">
        <v>440</v>
      </c>
      <c r="J45" s="1" t="s">
        <v>441</v>
      </c>
      <c r="K45">
        <v>2</v>
      </c>
      <c r="L45">
        <v>3</v>
      </c>
      <c r="M45" t="str">
        <f t="shared" si="1"/>
        <v>Disagreement</v>
      </c>
    </row>
    <row r="46" spans="1:13" x14ac:dyDescent="0.3">
      <c r="A46" t="s">
        <v>34</v>
      </c>
      <c r="B46" t="s">
        <v>35</v>
      </c>
      <c r="C46" t="s">
        <v>14</v>
      </c>
      <c r="D46" t="s">
        <v>14</v>
      </c>
      <c r="E46">
        <v>4</v>
      </c>
      <c r="F46">
        <v>4.9500880000000001E-3</v>
      </c>
      <c r="G46" s="1" t="s">
        <v>36</v>
      </c>
      <c r="H46" s="1" t="s">
        <v>37</v>
      </c>
      <c r="I46" s="1" t="s">
        <v>38</v>
      </c>
      <c r="J46" s="1" t="s">
        <v>39</v>
      </c>
      <c r="K46">
        <v>2</v>
      </c>
      <c r="L46">
        <v>2</v>
      </c>
      <c r="M46" t="str">
        <f t="shared" si="1"/>
        <v>Agreement</v>
      </c>
    </row>
    <row r="47" spans="1:13" x14ac:dyDescent="0.3">
      <c r="A47" t="s">
        <v>228</v>
      </c>
      <c r="B47" t="s">
        <v>229</v>
      </c>
      <c r="C47" t="s">
        <v>21</v>
      </c>
      <c r="D47" t="s">
        <v>15</v>
      </c>
      <c r="E47">
        <v>4</v>
      </c>
      <c r="F47">
        <v>8.3382270000000001E-3</v>
      </c>
      <c r="G47" s="1" t="s">
        <v>230</v>
      </c>
      <c r="H47">
        <v>0.74640184600000004</v>
      </c>
      <c r="I47" s="1" t="s">
        <v>231</v>
      </c>
      <c r="J47" s="1" t="s">
        <v>232</v>
      </c>
      <c r="K47">
        <v>3</v>
      </c>
      <c r="L47">
        <v>1</v>
      </c>
      <c r="M47" t="str">
        <f t="shared" si="1"/>
        <v>Disagreement</v>
      </c>
    </row>
    <row r="48" spans="1:13" x14ac:dyDescent="0.3">
      <c r="A48" t="s">
        <v>503</v>
      </c>
      <c r="B48" t="s">
        <v>504</v>
      </c>
      <c r="C48" t="s">
        <v>14</v>
      </c>
      <c r="D48" t="s">
        <v>15</v>
      </c>
      <c r="E48">
        <v>4</v>
      </c>
      <c r="F48">
        <v>0</v>
      </c>
      <c r="G48">
        <v>0</v>
      </c>
      <c r="H48" s="1" t="s">
        <v>505</v>
      </c>
      <c r="I48">
        <v>0.40060278799999999</v>
      </c>
      <c r="J48">
        <v>6.8482778999999994E-2</v>
      </c>
      <c r="K48">
        <v>2</v>
      </c>
      <c r="L48">
        <v>1</v>
      </c>
      <c r="M48" t="str">
        <f t="shared" si="1"/>
        <v>Disagreement</v>
      </c>
    </row>
    <row r="49" spans="1:13" x14ac:dyDescent="0.3">
      <c r="A49" t="s">
        <v>155</v>
      </c>
      <c r="B49" t="s">
        <v>156</v>
      </c>
      <c r="C49" t="s">
        <v>14</v>
      </c>
      <c r="D49" t="s">
        <v>21</v>
      </c>
      <c r="E49">
        <v>3</v>
      </c>
      <c r="F49">
        <v>0</v>
      </c>
      <c r="G49" s="1" t="s">
        <v>157</v>
      </c>
      <c r="H49" s="1" t="s">
        <v>158</v>
      </c>
      <c r="I49" s="1" t="s">
        <v>159</v>
      </c>
      <c r="J49" s="1" t="s">
        <v>160</v>
      </c>
      <c r="K49">
        <v>2</v>
      </c>
      <c r="L49">
        <v>3</v>
      </c>
      <c r="M49" t="str">
        <f t="shared" si="1"/>
        <v>Disagreement</v>
      </c>
    </row>
    <row r="50" spans="1:13" x14ac:dyDescent="0.3">
      <c r="A50" t="s">
        <v>336</v>
      </c>
      <c r="B50" t="s">
        <v>337</v>
      </c>
      <c r="C50" t="s">
        <v>21</v>
      </c>
      <c r="D50" t="s">
        <v>21</v>
      </c>
      <c r="E50">
        <v>3</v>
      </c>
      <c r="F50">
        <v>9.9609450000000006E-3</v>
      </c>
      <c r="G50" s="1" t="s">
        <v>338</v>
      </c>
      <c r="H50">
        <v>1.024662E-3</v>
      </c>
      <c r="I50" s="1" t="s">
        <v>339</v>
      </c>
      <c r="J50" s="1" t="s">
        <v>340</v>
      </c>
      <c r="K50">
        <v>3</v>
      </c>
      <c r="L50">
        <v>3</v>
      </c>
      <c r="M50" t="str">
        <f t="shared" si="1"/>
        <v>Agreement</v>
      </c>
    </row>
    <row r="51" spans="1:13" x14ac:dyDescent="0.3">
      <c r="A51" t="s">
        <v>365</v>
      </c>
      <c r="B51" t="s">
        <v>366</v>
      </c>
      <c r="C51" t="s">
        <v>14</v>
      </c>
      <c r="D51" t="s">
        <v>21</v>
      </c>
      <c r="E51">
        <v>3</v>
      </c>
      <c r="F51">
        <v>2.3946369999999998E-3</v>
      </c>
      <c r="G51" s="1" t="s">
        <v>367</v>
      </c>
      <c r="H51">
        <v>8.4436600000000004E-4</v>
      </c>
      <c r="I51" s="1" t="s">
        <v>368</v>
      </c>
      <c r="J51" s="1" t="s">
        <v>369</v>
      </c>
      <c r="K51">
        <v>2</v>
      </c>
      <c r="L51">
        <v>3</v>
      </c>
      <c r="M51" t="str">
        <f t="shared" si="1"/>
        <v>Disagreement</v>
      </c>
    </row>
    <row r="52" spans="1:13" x14ac:dyDescent="0.3">
      <c r="A52" t="s">
        <v>377</v>
      </c>
      <c r="B52" t="s">
        <v>378</v>
      </c>
      <c r="C52" t="s">
        <v>21</v>
      </c>
      <c r="D52" t="s">
        <v>21</v>
      </c>
      <c r="E52">
        <v>3</v>
      </c>
      <c r="F52">
        <v>8.3108239999999996E-3</v>
      </c>
      <c r="G52" s="1" t="s">
        <v>379</v>
      </c>
      <c r="H52">
        <v>3.3124400000000002E-4</v>
      </c>
      <c r="I52" s="1" t="s">
        <v>380</v>
      </c>
      <c r="J52" s="1" t="s">
        <v>381</v>
      </c>
      <c r="K52">
        <v>3</v>
      </c>
      <c r="L52">
        <v>3</v>
      </c>
      <c r="M52" t="str">
        <f t="shared" si="1"/>
        <v>Agreement</v>
      </c>
    </row>
    <row r="53" spans="1:13" x14ac:dyDescent="0.3">
      <c r="A53" t="s">
        <v>533</v>
      </c>
      <c r="B53" t="s">
        <v>534</v>
      </c>
      <c r="C53" t="s">
        <v>14</v>
      </c>
      <c r="D53" t="s">
        <v>21</v>
      </c>
      <c r="E53">
        <v>3</v>
      </c>
      <c r="F53">
        <v>0</v>
      </c>
      <c r="G53">
        <v>0</v>
      </c>
      <c r="H53" s="1" t="s">
        <v>535</v>
      </c>
      <c r="I53">
        <v>9.8495430999999994E-2</v>
      </c>
      <c r="J53" s="1" t="s">
        <v>536</v>
      </c>
      <c r="K53">
        <v>2</v>
      </c>
      <c r="L53">
        <v>3</v>
      </c>
      <c r="M53" t="str">
        <f t="shared" si="1"/>
        <v>Disagreement</v>
      </c>
    </row>
    <row r="54" spans="1:13" x14ac:dyDescent="0.3">
      <c r="A54" t="s">
        <v>119</v>
      </c>
      <c r="B54" t="s">
        <v>120</v>
      </c>
      <c r="C54" t="s">
        <v>14</v>
      </c>
      <c r="D54" t="s">
        <v>14</v>
      </c>
      <c r="E54">
        <v>3</v>
      </c>
      <c r="F54">
        <v>0</v>
      </c>
      <c r="G54">
        <v>0</v>
      </c>
      <c r="H54" s="1" t="s">
        <v>121</v>
      </c>
      <c r="I54" s="1" t="s">
        <v>122</v>
      </c>
      <c r="J54">
        <v>0.36771690800000001</v>
      </c>
      <c r="K54">
        <v>2</v>
      </c>
      <c r="L54">
        <v>2</v>
      </c>
      <c r="M54" t="str">
        <f t="shared" si="1"/>
        <v>Agreement</v>
      </c>
    </row>
    <row r="55" spans="1:13" x14ac:dyDescent="0.3">
      <c r="A55" t="s">
        <v>278</v>
      </c>
      <c r="B55" t="s">
        <v>279</v>
      </c>
      <c r="C55" t="s">
        <v>14</v>
      </c>
      <c r="D55" t="s">
        <v>14</v>
      </c>
      <c r="E55">
        <v>3</v>
      </c>
      <c r="F55">
        <v>4.1103930000000004E-3</v>
      </c>
      <c r="G55">
        <v>7.6335880000000002E-3</v>
      </c>
      <c r="H55" s="1" t="s">
        <v>280</v>
      </c>
      <c r="I55" s="1" t="s">
        <v>281</v>
      </c>
      <c r="J55" s="1" t="s">
        <v>282</v>
      </c>
      <c r="K55">
        <v>2</v>
      </c>
      <c r="L55">
        <v>2</v>
      </c>
      <c r="M55" t="str">
        <f t="shared" si="1"/>
        <v>Agreement</v>
      </c>
    </row>
    <row r="56" spans="1:13" x14ac:dyDescent="0.3">
      <c r="A56" t="s">
        <v>12</v>
      </c>
      <c r="B56" t="s">
        <v>13</v>
      </c>
      <c r="C56" t="s">
        <v>14</v>
      </c>
      <c r="D56" t="s">
        <v>15</v>
      </c>
      <c r="E56">
        <v>3</v>
      </c>
      <c r="F56">
        <v>2.671756E-3</v>
      </c>
      <c r="G56" s="1" t="s">
        <v>16</v>
      </c>
      <c r="H56">
        <v>0.835537851</v>
      </c>
      <c r="I56" s="1" t="s">
        <v>17</v>
      </c>
      <c r="J56" s="1" t="s">
        <v>18</v>
      </c>
      <c r="K56">
        <v>2</v>
      </c>
      <c r="L56">
        <v>1</v>
      </c>
      <c r="M56" t="str">
        <f t="shared" si="1"/>
        <v>Disagreement</v>
      </c>
    </row>
    <row r="57" spans="1:13" x14ac:dyDescent="0.3">
      <c r="A57" t="s">
        <v>26</v>
      </c>
      <c r="B57" t="s">
        <v>27</v>
      </c>
      <c r="C57" t="s">
        <v>14</v>
      </c>
      <c r="D57" t="s">
        <v>15</v>
      </c>
      <c r="E57">
        <v>3</v>
      </c>
      <c r="F57">
        <v>1.1744E-4</v>
      </c>
      <c r="G57">
        <v>7.6335880000000002E-3</v>
      </c>
      <c r="H57">
        <v>0.73669725699999999</v>
      </c>
      <c r="I57" s="1" t="s">
        <v>28</v>
      </c>
      <c r="J57" s="1" t="s">
        <v>29</v>
      </c>
      <c r="K57">
        <v>2</v>
      </c>
      <c r="L57">
        <v>1</v>
      </c>
      <c r="M57" t="str">
        <f t="shared" si="1"/>
        <v>Disagreement</v>
      </c>
    </row>
    <row r="58" spans="1:13" x14ac:dyDescent="0.3">
      <c r="A58" t="s">
        <v>30</v>
      </c>
      <c r="B58" t="s">
        <v>31</v>
      </c>
      <c r="C58" t="s">
        <v>14</v>
      </c>
      <c r="D58" t="s">
        <v>15</v>
      </c>
      <c r="E58">
        <v>3</v>
      </c>
      <c r="F58">
        <v>0</v>
      </c>
      <c r="G58">
        <v>0</v>
      </c>
      <c r="H58" s="1" t="s">
        <v>32</v>
      </c>
      <c r="I58" s="1" t="s">
        <v>33</v>
      </c>
      <c r="J58">
        <v>9.0961494000000004E-2</v>
      </c>
      <c r="K58">
        <v>2</v>
      </c>
      <c r="L58">
        <v>1</v>
      </c>
      <c r="M58" t="str">
        <f t="shared" si="1"/>
        <v>Disagreement</v>
      </c>
    </row>
    <row r="59" spans="1:13" x14ac:dyDescent="0.3">
      <c r="A59" t="s">
        <v>89</v>
      </c>
      <c r="B59" t="s">
        <v>90</v>
      </c>
      <c r="C59" t="s">
        <v>14</v>
      </c>
      <c r="D59" t="s">
        <v>15</v>
      </c>
      <c r="E59">
        <v>3</v>
      </c>
      <c r="F59">
        <v>4.1691130000000003E-3</v>
      </c>
      <c r="G59">
        <v>7.6335880000000002E-3</v>
      </c>
      <c r="H59" s="1" t="s">
        <v>91</v>
      </c>
      <c r="I59" s="1" t="s">
        <v>92</v>
      </c>
      <c r="J59">
        <v>1.8047033000000001E-2</v>
      </c>
      <c r="K59">
        <v>2</v>
      </c>
      <c r="L59">
        <v>1</v>
      </c>
      <c r="M59" t="str">
        <f t="shared" si="1"/>
        <v>Disagreement</v>
      </c>
    </row>
    <row r="60" spans="1:13" x14ac:dyDescent="0.3">
      <c r="A60" t="s">
        <v>570</v>
      </c>
      <c r="B60" t="s">
        <v>571</v>
      </c>
      <c r="C60" t="s">
        <v>14</v>
      </c>
      <c r="D60" t="s">
        <v>15</v>
      </c>
      <c r="E60">
        <v>3</v>
      </c>
      <c r="F60">
        <v>7.0463899999999996E-4</v>
      </c>
      <c r="G60" s="1" t="s">
        <v>572</v>
      </c>
      <c r="H60" s="1" t="s">
        <v>573</v>
      </c>
      <c r="I60" s="1" t="s">
        <v>574</v>
      </c>
      <c r="J60" s="1" t="s">
        <v>575</v>
      </c>
      <c r="K60">
        <v>2</v>
      </c>
      <c r="L60">
        <v>1</v>
      </c>
      <c r="M60" t="str">
        <f t="shared" si="1"/>
        <v>Disagreement</v>
      </c>
    </row>
    <row r="61" spans="1:13" x14ac:dyDescent="0.3">
      <c r="A61" t="s">
        <v>527</v>
      </c>
      <c r="B61" t="s">
        <v>528</v>
      </c>
      <c r="C61" t="s">
        <v>14</v>
      </c>
      <c r="D61" t="s">
        <v>21</v>
      </c>
      <c r="E61">
        <v>2</v>
      </c>
      <c r="F61">
        <v>0</v>
      </c>
      <c r="G61" s="1" t="s">
        <v>529</v>
      </c>
      <c r="H61" s="1" t="s">
        <v>530</v>
      </c>
      <c r="I61" s="1" t="s">
        <v>531</v>
      </c>
      <c r="J61" s="1" t="s">
        <v>532</v>
      </c>
      <c r="K61">
        <v>2</v>
      </c>
      <c r="L61">
        <v>3</v>
      </c>
      <c r="M61" t="str">
        <f t="shared" si="1"/>
        <v>Disagreement</v>
      </c>
    </row>
    <row r="62" spans="1:13" x14ac:dyDescent="0.3">
      <c r="A62" t="s">
        <v>537</v>
      </c>
      <c r="B62" t="s">
        <v>538</v>
      </c>
      <c r="C62" t="s">
        <v>14</v>
      </c>
      <c r="D62" t="s">
        <v>21</v>
      </c>
      <c r="E62">
        <v>2</v>
      </c>
      <c r="F62">
        <v>9.9334500000000008E-4</v>
      </c>
      <c r="G62" s="1" t="s">
        <v>539</v>
      </c>
      <c r="H62">
        <v>1.9959159999999999E-3</v>
      </c>
      <c r="I62" s="1" t="s">
        <v>540</v>
      </c>
      <c r="J62" s="1" t="s">
        <v>541</v>
      </c>
      <c r="K62">
        <v>2</v>
      </c>
      <c r="L62">
        <v>3</v>
      </c>
      <c r="M62" t="str">
        <f t="shared" si="1"/>
        <v>Disagreement</v>
      </c>
    </row>
    <row r="63" spans="1:13" x14ac:dyDescent="0.3">
      <c r="A63" t="s">
        <v>544</v>
      </c>
      <c r="B63" t="s">
        <v>545</v>
      </c>
      <c r="C63" t="s">
        <v>14</v>
      </c>
      <c r="D63" t="s">
        <v>21</v>
      </c>
      <c r="E63">
        <v>2</v>
      </c>
      <c r="F63">
        <v>1.0060679999999999E-3</v>
      </c>
      <c r="G63" s="1" t="s">
        <v>546</v>
      </c>
      <c r="H63">
        <v>1.4758499999999999E-4</v>
      </c>
      <c r="I63" s="1" t="s">
        <v>547</v>
      </c>
      <c r="J63" s="1" t="s">
        <v>548</v>
      </c>
      <c r="K63">
        <v>2</v>
      </c>
      <c r="L63">
        <v>3</v>
      </c>
      <c r="M63" t="str">
        <f t="shared" si="1"/>
        <v>Disagreement</v>
      </c>
    </row>
    <row r="64" spans="1:13" x14ac:dyDescent="0.3">
      <c r="A64" t="s">
        <v>549</v>
      </c>
      <c r="B64" t="s">
        <v>550</v>
      </c>
      <c r="C64" t="s">
        <v>14</v>
      </c>
      <c r="D64" t="s">
        <v>21</v>
      </c>
      <c r="E64">
        <v>2</v>
      </c>
      <c r="F64">
        <v>6.1068700000000004E-3</v>
      </c>
      <c r="G64" s="1" t="s">
        <v>551</v>
      </c>
      <c r="H64" s="1" t="s">
        <v>552</v>
      </c>
      <c r="I64" s="1" t="s">
        <v>553</v>
      </c>
      <c r="J64" s="1" t="s">
        <v>554</v>
      </c>
      <c r="K64">
        <v>2</v>
      </c>
      <c r="L64">
        <v>3</v>
      </c>
      <c r="M64" t="str">
        <f t="shared" si="1"/>
        <v>Disagreement</v>
      </c>
    </row>
    <row r="65" spans="1:13" x14ac:dyDescent="0.3">
      <c r="A65" t="s">
        <v>263</v>
      </c>
      <c r="B65" t="s">
        <v>264</v>
      </c>
      <c r="C65" t="s">
        <v>14</v>
      </c>
      <c r="D65" t="s">
        <v>14</v>
      </c>
      <c r="E65">
        <v>2</v>
      </c>
      <c r="F65">
        <v>0</v>
      </c>
      <c r="G65" s="1" t="s">
        <v>265</v>
      </c>
      <c r="H65" s="1" t="s">
        <v>266</v>
      </c>
      <c r="I65" s="1" t="s">
        <v>267</v>
      </c>
      <c r="J65" s="1" t="s">
        <v>268</v>
      </c>
      <c r="K65">
        <v>2</v>
      </c>
      <c r="L65">
        <v>2</v>
      </c>
      <c r="M65" t="str">
        <f t="shared" si="1"/>
        <v>Agreement</v>
      </c>
    </row>
    <row r="66" spans="1:13" x14ac:dyDescent="0.3">
      <c r="A66" t="s">
        <v>382</v>
      </c>
      <c r="B66" t="s">
        <v>383</v>
      </c>
      <c r="C66" t="s">
        <v>14</v>
      </c>
      <c r="D66" t="s">
        <v>14</v>
      </c>
      <c r="E66">
        <v>2</v>
      </c>
      <c r="F66">
        <v>0</v>
      </c>
      <c r="G66">
        <v>8.1314305000000003E-2</v>
      </c>
      <c r="H66">
        <v>9.3525916000000001E-2</v>
      </c>
      <c r="I66" s="1" t="s">
        <v>384</v>
      </c>
      <c r="J66" s="1" t="s">
        <v>385</v>
      </c>
      <c r="K66">
        <v>2</v>
      </c>
      <c r="L66">
        <v>2</v>
      </c>
      <c r="M66" t="str">
        <f t="shared" ref="M66:M97" si="2">IF(C66=D66,"Agreement","Disagreement")</f>
        <v>Agreement</v>
      </c>
    </row>
    <row r="67" spans="1:13" x14ac:dyDescent="0.3">
      <c r="A67" t="s">
        <v>386</v>
      </c>
      <c r="B67" t="s">
        <v>387</v>
      </c>
      <c r="C67" t="s">
        <v>14</v>
      </c>
      <c r="D67" t="s">
        <v>14</v>
      </c>
      <c r="E67">
        <v>2</v>
      </c>
      <c r="F67">
        <v>0</v>
      </c>
      <c r="G67">
        <v>0</v>
      </c>
      <c r="H67" s="1" t="s">
        <v>388</v>
      </c>
      <c r="I67" s="1" t="s">
        <v>389</v>
      </c>
      <c r="J67" s="1" t="s">
        <v>390</v>
      </c>
      <c r="K67">
        <v>2</v>
      </c>
      <c r="L67">
        <v>2</v>
      </c>
      <c r="M67" t="str">
        <f t="shared" si="2"/>
        <v>Agreement</v>
      </c>
    </row>
    <row r="68" spans="1:13" x14ac:dyDescent="0.3">
      <c r="A68" t="s">
        <v>457</v>
      </c>
      <c r="B68" t="s">
        <v>458</v>
      </c>
      <c r="C68" t="s">
        <v>14</v>
      </c>
      <c r="D68" t="s">
        <v>14</v>
      </c>
      <c r="E68">
        <v>2</v>
      </c>
      <c r="F68">
        <v>0</v>
      </c>
      <c r="G68" s="1" t="s">
        <v>459</v>
      </c>
      <c r="H68" s="1" t="s">
        <v>460</v>
      </c>
      <c r="I68" s="1" t="s">
        <v>461</v>
      </c>
      <c r="J68" s="1" t="s">
        <v>462</v>
      </c>
      <c r="K68">
        <v>2</v>
      </c>
      <c r="L68">
        <v>2</v>
      </c>
      <c r="M68" t="str">
        <f t="shared" si="2"/>
        <v>Agreement</v>
      </c>
    </row>
    <row r="69" spans="1:13" x14ac:dyDescent="0.3">
      <c r="A69" t="s">
        <v>469</v>
      </c>
      <c r="B69" t="s">
        <v>470</v>
      </c>
      <c r="C69" t="s">
        <v>14</v>
      </c>
      <c r="D69" t="s">
        <v>14</v>
      </c>
      <c r="E69">
        <v>2</v>
      </c>
      <c r="F69">
        <v>0</v>
      </c>
      <c r="G69" s="1" t="s">
        <v>459</v>
      </c>
      <c r="H69" s="1" t="s">
        <v>460</v>
      </c>
      <c r="I69" s="1" t="s">
        <v>461</v>
      </c>
      <c r="J69" s="1" t="s">
        <v>462</v>
      </c>
      <c r="K69">
        <v>2</v>
      </c>
      <c r="L69">
        <v>2</v>
      </c>
      <c r="M69" t="str">
        <f t="shared" si="2"/>
        <v>Agreement</v>
      </c>
    </row>
    <row r="70" spans="1:13" x14ac:dyDescent="0.3">
      <c r="A70" t="s">
        <v>521</v>
      </c>
      <c r="B70" t="s">
        <v>522</v>
      </c>
      <c r="C70" t="s">
        <v>14</v>
      </c>
      <c r="D70" t="s">
        <v>14</v>
      </c>
      <c r="E70">
        <v>2</v>
      </c>
      <c r="F70">
        <v>0</v>
      </c>
      <c r="G70" s="1" t="s">
        <v>523</v>
      </c>
      <c r="H70" s="1" t="s">
        <v>524</v>
      </c>
      <c r="I70" s="1" t="s">
        <v>525</v>
      </c>
      <c r="J70" s="1" t="s">
        <v>526</v>
      </c>
      <c r="K70">
        <v>2</v>
      </c>
      <c r="L70">
        <v>2</v>
      </c>
      <c r="M70" t="str">
        <f t="shared" si="2"/>
        <v>Agreement</v>
      </c>
    </row>
    <row r="71" spans="1:13" x14ac:dyDescent="0.3">
      <c r="A71" t="s">
        <v>109</v>
      </c>
      <c r="B71" t="s">
        <v>110</v>
      </c>
      <c r="C71" t="s">
        <v>14</v>
      </c>
      <c r="D71" t="s">
        <v>15</v>
      </c>
      <c r="E71">
        <v>2</v>
      </c>
      <c r="F71">
        <v>1.8203169999999999E-3</v>
      </c>
      <c r="G71">
        <v>7.6335880000000002E-3</v>
      </c>
      <c r="H71" s="1" t="s">
        <v>111</v>
      </c>
      <c r="I71" s="1" t="s">
        <v>112</v>
      </c>
      <c r="J71" s="1" t="s">
        <v>113</v>
      </c>
      <c r="K71">
        <v>2</v>
      </c>
      <c r="L71">
        <v>1</v>
      </c>
      <c r="M71" t="str">
        <f t="shared" si="2"/>
        <v>Disagreement</v>
      </c>
    </row>
    <row r="72" spans="1:13" x14ac:dyDescent="0.3">
      <c r="A72" t="s">
        <v>475</v>
      </c>
      <c r="B72" t="s">
        <v>476</v>
      </c>
      <c r="C72" t="s">
        <v>14</v>
      </c>
      <c r="D72" t="s">
        <v>15</v>
      </c>
      <c r="E72">
        <v>2</v>
      </c>
      <c r="F72">
        <v>0</v>
      </c>
      <c r="G72" s="1" t="s">
        <v>477</v>
      </c>
      <c r="H72" s="1" t="s">
        <v>478</v>
      </c>
      <c r="I72" s="1" t="s">
        <v>479</v>
      </c>
      <c r="J72" s="1" t="s">
        <v>480</v>
      </c>
      <c r="K72">
        <v>2</v>
      </c>
      <c r="L72">
        <v>1</v>
      </c>
      <c r="M72" t="str">
        <f t="shared" si="2"/>
        <v>Disagreement</v>
      </c>
    </row>
    <row r="73" spans="1:13" x14ac:dyDescent="0.3">
      <c r="A73" t="s">
        <v>495</v>
      </c>
      <c r="B73" t="s">
        <v>496</v>
      </c>
      <c r="C73" t="s">
        <v>14</v>
      </c>
      <c r="D73" t="s">
        <v>15</v>
      </c>
      <c r="E73">
        <v>2</v>
      </c>
      <c r="F73">
        <v>0</v>
      </c>
      <c r="G73" s="1" t="s">
        <v>477</v>
      </c>
      <c r="H73">
        <v>0.65396648599999996</v>
      </c>
      <c r="I73" s="1" t="s">
        <v>497</v>
      </c>
      <c r="J73">
        <v>4.3439182999999999E-2</v>
      </c>
      <c r="K73">
        <v>2</v>
      </c>
      <c r="L73">
        <v>1</v>
      </c>
      <c r="M73" t="str">
        <f t="shared" si="2"/>
        <v>Disagreement</v>
      </c>
    </row>
    <row r="74" spans="1:13" x14ac:dyDescent="0.3">
      <c r="A74" t="s">
        <v>566</v>
      </c>
      <c r="B74" t="s">
        <v>567</v>
      </c>
      <c r="C74" t="s">
        <v>14</v>
      </c>
      <c r="D74" t="s">
        <v>15</v>
      </c>
      <c r="E74">
        <v>2</v>
      </c>
      <c r="F74">
        <v>7.0463899999999996E-4</v>
      </c>
      <c r="G74" s="1" t="s">
        <v>326</v>
      </c>
      <c r="H74" s="1" t="s">
        <v>568</v>
      </c>
      <c r="I74" s="1" t="s">
        <v>569</v>
      </c>
      <c r="J74">
        <v>4.1557721999999998E-2</v>
      </c>
      <c r="K74">
        <v>2</v>
      </c>
      <c r="L74">
        <v>1</v>
      </c>
      <c r="M74" t="str">
        <f t="shared" si="2"/>
        <v>Disagreement</v>
      </c>
    </row>
    <row r="75" spans="1:13" x14ac:dyDescent="0.3">
      <c r="A75" t="s">
        <v>576</v>
      </c>
      <c r="B75" t="s">
        <v>577</v>
      </c>
      <c r="C75" t="s">
        <v>14</v>
      </c>
      <c r="D75" t="s">
        <v>15</v>
      </c>
      <c r="E75">
        <v>2</v>
      </c>
      <c r="F75">
        <v>2.9359999999999998E-4</v>
      </c>
      <c r="G75" s="1" t="s">
        <v>578</v>
      </c>
      <c r="H75" s="1" t="s">
        <v>579</v>
      </c>
      <c r="I75" s="1" t="s">
        <v>580</v>
      </c>
      <c r="J75" s="1" t="s">
        <v>581</v>
      </c>
      <c r="K75">
        <v>2</v>
      </c>
      <c r="L75">
        <v>1</v>
      </c>
      <c r="M75" t="str">
        <f t="shared" si="2"/>
        <v>Disagreement</v>
      </c>
    </row>
    <row r="76" spans="1:13" x14ac:dyDescent="0.3">
      <c r="A76" t="s">
        <v>287</v>
      </c>
      <c r="B76" t="s">
        <v>288</v>
      </c>
      <c r="C76" t="s">
        <v>15</v>
      </c>
      <c r="D76" t="s">
        <v>14</v>
      </c>
      <c r="E76">
        <v>1</v>
      </c>
      <c r="F76">
        <v>0</v>
      </c>
      <c r="G76">
        <v>0</v>
      </c>
      <c r="H76">
        <v>6.157605E-2</v>
      </c>
      <c r="I76" s="1" t="s">
        <v>289</v>
      </c>
      <c r="J76" s="1" t="s">
        <v>290</v>
      </c>
      <c r="K76">
        <v>1</v>
      </c>
      <c r="L76">
        <v>2</v>
      </c>
      <c r="M76" t="str">
        <f t="shared" si="2"/>
        <v>Disagreement</v>
      </c>
    </row>
    <row r="77" spans="1:13" x14ac:dyDescent="0.3">
      <c r="A77" t="s">
        <v>47</v>
      </c>
      <c r="B77" t="s">
        <v>48</v>
      </c>
      <c r="C77" t="s">
        <v>15</v>
      </c>
      <c r="D77" t="s">
        <v>15</v>
      </c>
      <c r="E77">
        <v>1</v>
      </c>
      <c r="F77">
        <v>0</v>
      </c>
      <c r="G77">
        <v>0</v>
      </c>
      <c r="H77" s="1" t="s">
        <v>49</v>
      </c>
      <c r="I77" s="1" t="s">
        <v>50</v>
      </c>
      <c r="J77" s="1" t="s">
        <v>51</v>
      </c>
      <c r="K77">
        <v>1</v>
      </c>
      <c r="L77">
        <v>1</v>
      </c>
      <c r="M77" t="str">
        <f t="shared" si="2"/>
        <v>Agreement</v>
      </c>
    </row>
    <row r="78" spans="1:13" x14ac:dyDescent="0.3">
      <c r="A78" t="s">
        <v>58</v>
      </c>
      <c r="B78" t="s">
        <v>59</v>
      </c>
      <c r="C78" t="s">
        <v>15</v>
      </c>
      <c r="D78" t="s">
        <v>15</v>
      </c>
      <c r="E78">
        <v>1</v>
      </c>
      <c r="F78">
        <v>0</v>
      </c>
      <c r="G78" s="1" t="s">
        <v>60</v>
      </c>
      <c r="H78" s="1" t="s">
        <v>61</v>
      </c>
      <c r="I78" s="1" t="s">
        <v>62</v>
      </c>
      <c r="J78">
        <v>8.6049527000000001E-2</v>
      </c>
      <c r="K78">
        <v>1</v>
      </c>
      <c r="L78">
        <v>1</v>
      </c>
      <c r="M78" t="str">
        <f t="shared" si="2"/>
        <v>Agreement</v>
      </c>
    </row>
    <row r="79" spans="1:13" x14ac:dyDescent="0.3">
      <c r="A79" t="s">
        <v>63</v>
      </c>
      <c r="B79" t="s">
        <v>64</v>
      </c>
      <c r="C79" t="s">
        <v>15</v>
      </c>
      <c r="D79" t="s">
        <v>15</v>
      </c>
      <c r="E79">
        <v>1</v>
      </c>
      <c r="F79">
        <v>0</v>
      </c>
      <c r="G79" s="1" t="s">
        <v>60</v>
      </c>
      <c r="H79" s="1" t="s">
        <v>61</v>
      </c>
      <c r="I79" s="1" t="s">
        <v>62</v>
      </c>
      <c r="J79">
        <v>8.6049527000000001E-2</v>
      </c>
      <c r="K79">
        <v>1</v>
      </c>
      <c r="L79">
        <v>1</v>
      </c>
      <c r="M79" t="str">
        <f t="shared" si="2"/>
        <v>Agreement</v>
      </c>
    </row>
    <row r="80" spans="1:13" x14ac:dyDescent="0.3">
      <c r="A80" t="s">
        <v>65</v>
      </c>
      <c r="B80" t="s">
        <v>66</v>
      </c>
      <c r="C80" t="s">
        <v>15</v>
      </c>
      <c r="D80" t="s">
        <v>15</v>
      </c>
      <c r="E80">
        <v>1</v>
      </c>
      <c r="F80">
        <v>0</v>
      </c>
      <c r="G80" s="1" t="s">
        <v>60</v>
      </c>
      <c r="H80" s="1" t="s">
        <v>61</v>
      </c>
      <c r="I80" s="1" t="s">
        <v>62</v>
      </c>
      <c r="J80">
        <v>8.6049527000000001E-2</v>
      </c>
      <c r="K80">
        <v>1</v>
      </c>
      <c r="L80">
        <v>1</v>
      </c>
      <c r="M80" t="str">
        <f t="shared" si="2"/>
        <v>Agreement</v>
      </c>
    </row>
    <row r="81" spans="1:13" x14ac:dyDescent="0.3">
      <c r="A81" t="s">
        <v>67</v>
      </c>
      <c r="B81" t="s">
        <v>68</v>
      </c>
      <c r="C81" t="s">
        <v>15</v>
      </c>
      <c r="D81" t="s">
        <v>15</v>
      </c>
      <c r="E81">
        <v>1</v>
      </c>
      <c r="F81">
        <v>0</v>
      </c>
      <c r="G81">
        <v>0</v>
      </c>
      <c r="H81" s="1" t="s">
        <v>49</v>
      </c>
      <c r="I81" s="1" t="s">
        <v>50</v>
      </c>
      <c r="J81" s="1" t="s">
        <v>51</v>
      </c>
      <c r="K81">
        <v>1</v>
      </c>
      <c r="L81">
        <v>1</v>
      </c>
      <c r="M81" t="str">
        <f t="shared" si="2"/>
        <v>Agreement</v>
      </c>
    </row>
    <row r="82" spans="1:13" x14ac:dyDescent="0.3">
      <c r="A82" t="s">
        <v>69</v>
      </c>
      <c r="B82" t="s">
        <v>70</v>
      </c>
      <c r="C82" t="s">
        <v>15</v>
      </c>
      <c r="D82" t="s">
        <v>15</v>
      </c>
      <c r="E82">
        <v>1</v>
      </c>
      <c r="F82">
        <v>0</v>
      </c>
      <c r="G82" s="1" t="s">
        <v>60</v>
      </c>
      <c r="H82" s="1" t="s">
        <v>61</v>
      </c>
      <c r="I82" s="1" t="s">
        <v>62</v>
      </c>
      <c r="J82">
        <v>8.6049527000000001E-2</v>
      </c>
      <c r="K82">
        <v>1</v>
      </c>
      <c r="L82">
        <v>1</v>
      </c>
      <c r="M82" t="str">
        <f t="shared" si="2"/>
        <v>Agreement</v>
      </c>
    </row>
    <row r="83" spans="1:13" x14ac:dyDescent="0.3">
      <c r="A83" t="s">
        <v>71</v>
      </c>
      <c r="B83" t="s">
        <v>72</v>
      </c>
      <c r="C83" t="s">
        <v>15</v>
      </c>
      <c r="D83" t="s">
        <v>15</v>
      </c>
      <c r="E83">
        <v>1</v>
      </c>
      <c r="F83">
        <v>0</v>
      </c>
      <c r="G83" s="1" t="s">
        <v>60</v>
      </c>
      <c r="H83" s="1" t="s">
        <v>61</v>
      </c>
      <c r="I83" s="1" t="s">
        <v>62</v>
      </c>
      <c r="J83">
        <v>8.6049527000000001E-2</v>
      </c>
      <c r="K83">
        <v>1</v>
      </c>
      <c r="L83">
        <v>1</v>
      </c>
      <c r="M83" t="str">
        <f t="shared" si="2"/>
        <v>Agreement</v>
      </c>
    </row>
    <row r="84" spans="1:13" x14ac:dyDescent="0.3">
      <c r="A84" t="s">
        <v>73</v>
      </c>
      <c r="B84" t="s">
        <v>74</v>
      </c>
      <c r="C84" t="s">
        <v>15</v>
      </c>
      <c r="D84" t="s">
        <v>15</v>
      </c>
      <c r="E84">
        <v>1</v>
      </c>
      <c r="F84">
        <v>0</v>
      </c>
      <c r="G84" s="1" t="s">
        <v>60</v>
      </c>
      <c r="H84" s="1" t="s">
        <v>61</v>
      </c>
      <c r="I84" s="1" t="s">
        <v>62</v>
      </c>
      <c r="J84">
        <v>8.6049527000000001E-2</v>
      </c>
      <c r="K84">
        <v>1</v>
      </c>
      <c r="L84">
        <v>1</v>
      </c>
      <c r="M84" t="str">
        <f t="shared" si="2"/>
        <v>Agreement</v>
      </c>
    </row>
    <row r="85" spans="1:13" x14ac:dyDescent="0.3">
      <c r="A85" t="s">
        <v>75</v>
      </c>
      <c r="B85" t="s">
        <v>76</v>
      </c>
      <c r="C85" t="s">
        <v>15</v>
      </c>
      <c r="D85" t="s">
        <v>15</v>
      </c>
      <c r="E85">
        <v>1</v>
      </c>
      <c r="F85">
        <v>0</v>
      </c>
      <c r="G85" s="1" t="s">
        <v>77</v>
      </c>
      <c r="H85" s="1" t="s">
        <v>78</v>
      </c>
      <c r="I85" s="1" t="s">
        <v>79</v>
      </c>
      <c r="J85" s="1" t="s">
        <v>80</v>
      </c>
      <c r="K85">
        <v>1</v>
      </c>
      <c r="L85">
        <v>1</v>
      </c>
      <c r="M85" t="str">
        <f t="shared" si="2"/>
        <v>Agreement</v>
      </c>
    </row>
    <row r="86" spans="1:13" x14ac:dyDescent="0.3">
      <c r="A86" t="s">
        <v>81</v>
      </c>
      <c r="B86" t="s">
        <v>82</v>
      </c>
      <c r="C86" t="s">
        <v>15</v>
      </c>
      <c r="D86" t="s">
        <v>15</v>
      </c>
      <c r="E86">
        <v>1</v>
      </c>
      <c r="F86">
        <v>0</v>
      </c>
      <c r="G86" s="1" t="s">
        <v>77</v>
      </c>
      <c r="H86" s="1" t="s">
        <v>78</v>
      </c>
      <c r="I86" s="1" t="s">
        <v>79</v>
      </c>
      <c r="J86" s="1" t="s">
        <v>80</v>
      </c>
      <c r="K86">
        <v>1</v>
      </c>
      <c r="L86">
        <v>1</v>
      </c>
      <c r="M86" t="str">
        <f t="shared" si="2"/>
        <v>Agreement</v>
      </c>
    </row>
    <row r="87" spans="1:13" x14ac:dyDescent="0.3">
      <c r="A87" t="s">
        <v>104</v>
      </c>
      <c r="B87" t="s">
        <v>105</v>
      </c>
      <c r="C87" t="s">
        <v>15</v>
      </c>
      <c r="D87" t="s">
        <v>15</v>
      </c>
      <c r="E87">
        <v>1</v>
      </c>
      <c r="F87">
        <v>0</v>
      </c>
      <c r="G87">
        <v>0</v>
      </c>
      <c r="H87" s="1" t="s">
        <v>106</v>
      </c>
      <c r="I87" s="1" t="s">
        <v>107</v>
      </c>
      <c r="J87" s="1" t="s">
        <v>108</v>
      </c>
      <c r="K87">
        <v>1</v>
      </c>
      <c r="L87">
        <v>1</v>
      </c>
      <c r="M87" t="str">
        <f t="shared" si="2"/>
        <v>Agreement</v>
      </c>
    </row>
    <row r="88" spans="1:13" x14ac:dyDescent="0.3">
      <c r="A88" t="s">
        <v>134</v>
      </c>
      <c r="B88" t="s">
        <v>135</v>
      </c>
      <c r="C88" t="s">
        <v>15</v>
      </c>
      <c r="D88" t="s">
        <v>15</v>
      </c>
      <c r="E88">
        <v>1</v>
      </c>
      <c r="F88">
        <v>0</v>
      </c>
      <c r="G88" s="1" t="s">
        <v>136</v>
      </c>
      <c r="H88" s="1" t="s">
        <v>137</v>
      </c>
      <c r="I88">
        <v>2.1219839999999999E-3</v>
      </c>
      <c r="J88" s="1" t="s">
        <v>138</v>
      </c>
      <c r="K88">
        <v>1</v>
      </c>
      <c r="L88">
        <v>1</v>
      </c>
      <c r="M88" t="str">
        <f t="shared" si="2"/>
        <v>Agreement</v>
      </c>
    </row>
    <row r="89" spans="1:13" x14ac:dyDescent="0.3">
      <c r="A89" t="s">
        <v>139</v>
      </c>
      <c r="B89" t="s">
        <v>140</v>
      </c>
      <c r="C89" t="s">
        <v>15</v>
      </c>
      <c r="D89" t="s">
        <v>15</v>
      </c>
      <c r="E89">
        <v>1</v>
      </c>
      <c r="F89">
        <v>0</v>
      </c>
      <c r="G89">
        <v>0</v>
      </c>
      <c r="H89">
        <v>0.90726399400000002</v>
      </c>
      <c r="I89">
        <v>7.0886523000000007E-2</v>
      </c>
      <c r="J89">
        <v>2.1849522E-2</v>
      </c>
      <c r="K89">
        <v>1</v>
      </c>
      <c r="L89">
        <v>1</v>
      </c>
      <c r="M89" t="str">
        <f t="shared" si="2"/>
        <v>Agreement</v>
      </c>
    </row>
    <row r="90" spans="1:13" x14ac:dyDescent="0.3">
      <c r="A90" t="s">
        <v>161</v>
      </c>
      <c r="B90" t="s">
        <v>162</v>
      </c>
      <c r="C90" t="s">
        <v>15</v>
      </c>
      <c r="D90" t="s">
        <v>15</v>
      </c>
      <c r="E90">
        <v>1</v>
      </c>
      <c r="F90">
        <v>0</v>
      </c>
      <c r="G90">
        <v>0</v>
      </c>
      <c r="H90" s="1" t="s">
        <v>163</v>
      </c>
      <c r="I90">
        <v>9.5226899000000004E-2</v>
      </c>
      <c r="J90">
        <v>2.1087429000000001E-2</v>
      </c>
      <c r="K90">
        <v>1</v>
      </c>
      <c r="L90">
        <v>1</v>
      </c>
      <c r="M90" t="str">
        <f t="shared" si="2"/>
        <v>Agreement</v>
      </c>
    </row>
    <row r="91" spans="1:13" x14ac:dyDescent="0.3">
      <c r="A91" t="s">
        <v>179</v>
      </c>
      <c r="B91" t="s">
        <v>180</v>
      </c>
      <c r="C91" t="s">
        <v>15</v>
      </c>
      <c r="D91" t="s">
        <v>15</v>
      </c>
      <c r="E91">
        <v>1</v>
      </c>
      <c r="F91">
        <v>0</v>
      </c>
      <c r="G91" s="1" t="s">
        <v>181</v>
      </c>
      <c r="H91" s="1" t="s">
        <v>182</v>
      </c>
      <c r="I91">
        <v>3.8619499999999998E-4</v>
      </c>
      <c r="J91" s="1" t="s">
        <v>183</v>
      </c>
      <c r="K91">
        <v>1</v>
      </c>
      <c r="L91">
        <v>1</v>
      </c>
      <c r="M91" t="str">
        <f t="shared" si="2"/>
        <v>Agreement</v>
      </c>
    </row>
    <row r="92" spans="1:13" x14ac:dyDescent="0.3">
      <c r="A92" t="s">
        <v>195</v>
      </c>
      <c r="B92" t="s">
        <v>196</v>
      </c>
      <c r="C92" t="s">
        <v>15</v>
      </c>
      <c r="D92" t="s">
        <v>15</v>
      </c>
      <c r="E92">
        <v>1</v>
      </c>
      <c r="F92">
        <v>0</v>
      </c>
      <c r="G92">
        <v>0</v>
      </c>
      <c r="H92" s="1" t="s">
        <v>197</v>
      </c>
      <c r="I92" s="1" t="s">
        <v>198</v>
      </c>
      <c r="J92" s="1" t="s">
        <v>199</v>
      </c>
      <c r="K92">
        <v>1</v>
      </c>
      <c r="L92">
        <v>1</v>
      </c>
      <c r="M92" t="str">
        <f t="shared" si="2"/>
        <v>Agreement</v>
      </c>
    </row>
    <row r="93" spans="1:13" x14ac:dyDescent="0.3">
      <c r="A93" t="s">
        <v>200</v>
      </c>
      <c r="B93" t="s">
        <v>201</v>
      </c>
      <c r="C93" t="s">
        <v>15</v>
      </c>
      <c r="D93" t="s">
        <v>15</v>
      </c>
      <c r="E93">
        <v>1</v>
      </c>
      <c r="F93">
        <v>0</v>
      </c>
      <c r="G93" s="1" t="s">
        <v>181</v>
      </c>
      <c r="H93" s="1" t="s">
        <v>182</v>
      </c>
      <c r="I93">
        <v>3.8619499999999998E-4</v>
      </c>
      <c r="J93" s="1" t="s">
        <v>183</v>
      </c>
      <c r="K93">
        <v>1</v>
      </c>
      <c r="L93">
        <v>1</v>
      </c>
      <c r="M93" t="str">
        <f t="shared" si="2"/>
        <v>Agreement</v>
      </c>
    </row>
    <row r="94" spans="1:13" x14ac:dyDescent="0.3">
      <c r="A94" t="s">
        <v>202</v>
      </c>
      <c r="B94" t="s">
        <v>203</v>
      </c>
      <c r="C94" t="s">
        <v>15</v>
      </c>
      <c r="D94" t="s">
        <v>15</v>
      </c>
      <c r="E94">
        <v>1</v>
      </c>
      <c r="F94">
        <v>0</v>
      </c>
      <c r="G94">
        <v>0</v>
      </c>
      <c r="H94" s="1" t="s">
        <v>204</v>
      </c>
      <c r="I94">
        <v>0.26863893900000002</v>
      </c>
      <c r="J94" s="1" t="s">
        <v>205</v>
      </c>
      <c r="K94">
        <v>1</v>
      </c>
      <c r="L94">
        <v>1</v>
      </c>
      <c r="M94" t="str">
        <f t="shared" si="2"/>
        <v>Agreement</v>
      </c>
    </row>
    <row r="95" spans="1:13" x14ac:dyDescent="0.3">
      <c r="A95" t="s">
        <v>206</v>
      </c>
      <c r="B95" t="s">
        <v>207</v>
      </c>
      <c r="C95" t="s">
        <v>15</v>
      </c>
      <c r="D95" t="s">
        <v>15</v>
      </c>
      <c r="E95">
        <v>1</v>
      </c>
      <c r="F95">
        <v>0</v>
      </c>
      <c r="G95" s="1" t="s">
        <v>208</v>
      </c>
      <c r="H95" s="1" t="s">
        <v>209</v>
      </c>
      <c r="I95" s="1" t="s">
        <v>210</v>
      </c>
      <c r="J95" s="1" t="s">
        <v>211</v>
      </c>
      <c r="K95">
        <v>1</v>
      </c>
      <c r="L95">
        <v>1</v>
      </c>
      <c r="M95" t="str">
        <f t="shared" si="2"/>
        <v>Agreement</v>
      </c>
    </row>
    <row r="96" spans="1:13" x14ac:dyDescent="0.3">
      <c r="A96" t="s">
        <v>239</v>
      </c>
      <c r="B96" t="s">
        <v>240</v>
      </c>
      <c r="C96" t="s">
        <v>15</v>
      </c>
      <c r="D96" t="s">
        <v>15</v>
      </c>
      <c r="E96">
        <v>1</v>
      </c>
      <c r="F96">
        <v>0</v>
      </c>
      <c r="G96">
        <v>0</v>
      </c>
      <c r="H96" s="1" t="s">
        <v>241</v>
      </c>
      <c r="I96">
        <v>8.3819597999999995E-2</v>
      </c>
      <c r="J96">
        <v>3.0604719999999998E-2</v>
      </c>
      <c r="K96">
        <v>1</v>
      </c>
      <c r="L96">
        <v>1</v>
      </c>
      <c r="M96" t="str">
        <f t="shared" si="2"/>
        <v>Agreement</v>
      </c>
    </row>
    <row r="97" spans="1:13" x14ac:dyDescent="0.3">
      <c r="A97" t="s">
        <v>248</v>
      </c>
      <c r="B97" t="s">
        <v>249</v>
      </c>
      <c r="C97" t="s">
        <v>15</v>
      </c>
      <c r="D97" t="s">
        <v>15</v>
      </c>
      <c r="E97">
        <v>1</v>
      </c>
      <c r="F97">
        <v>0</v>
      </c>
      <c r="G97">
        <v>0</v>
      </c>
      <c r="H97" s="1" t="s">
        <v>250</v>
      </c>
      <c r="I97" s="1" t="s">
        <v>251</v>
      </c>
      <c r="J97">
        <v>7.0949509999999993E-2</v>
      </c>
      <c r="K97">
        <v>1</v>
      </c>
      <c r="L97">
        <v>1</v>
      </c>
      <c r="M97" t="str">
        <f t="shared" si="2"/>
        <v>Agreement</v>
      </c>
    </row>
    <row r="98" spans="1:13" x14ac:dyDescent="0.3">
      <c r="A98" t="s">
        <v>257</v>
      </c>
      <c r="B98" t="s">
        <v>258</v>
      </c>
      <c r="C98" t="s">
        <v>15</v>
      </c>
      <c r="D98" t="s">
        <v>15</v>
      </c>
      <c r="E98">
        <v>1</v>
      </c>
      <c r="F98">
        <v>0</v>
      </c>
      <c r="G98">
        <v>0</v>
      </c>
      <c r="H98">
        <v>0.74645888800000004</v>
      </c>
      <c r="I98" s="1" t="s">
        <v>259</v>
      </c>
      <c r="J98" s="1" t="s">
        <v>260</v>
      </c>
      <c r="K98">
        <v>1</v>
      </c>
      <c r="L98">
        <v>1</v>
      </c>
      <c r="M98" t="str">
        <f t="shared" ref="M98:M133" si="3">IF(C98=D98,"Agreement","Disagreement")</f>
        <v>Agreement</v>
      </c>
    </row>
    <row r="99" spans="1:13" x14ac:dyDescent="0.3">
      <c r="A99" t="s">
        <v>261</v>
      </c>
      <c r="B99" t="s">
        <v>262</v>
      </c>
      <c r="C99" t="s">
        <v>15</v>
      </c>
      <c r="D99" t="s">
        <v>15</v>
      </c>
      <c r="E99">
        <v>1</v>
      </c>
      <c r="F99">
        <v>0</v>
      </c>
      <c r="G99">
        <v>0</v>
      </c>
      <c r="H99">
        <v>0.74645888800000004</v>
      </c>
      <c r="I99" s="1" t="s">
        <v>259</v>
      </c>
      <c r="J99" s="1" t="s">
        <v>260</v>
      </c>
      <c r="K99">
        <v>1</v>
      </c>
      <c r="L99">
        <v>1</v>
      </c>
      <c r="M99" t="str">
        <f t="shared" si="3"/>
        <v>Agreement</v>
      </c>
    </row>
    <row r="100" spans="1:13" x14ac:dyDescent="0.3">
      <c r="A100" t="s">
        <v>283</v>
      </c>
      <c r="B100" t="s">
        <v>284</v>
      </c>
      <c r="C100" t="s">
        <v>15</v>
      </c>
      <c r="D100" t="s">
        <v>15</v>
      </c>
      <c r="E100">
        <v>1</v>
      </c>
      <c r="F100">
        <v>0</v>
      </c>
      <c r="G100">
        <v>0</v>
      </c>
      <c r="H100">
        <v>0.74805748500000002</v>
      </c>
      <c r="I100" s="1" t="s">
        <v>285</v>
      </c>
      <c r="J100" s="1" t="s">
        <v>286</v>
      </c>
      <c r="K100">
        <v>1</v>
      </c>
      <c r="L100">
        <v>1</v>
      </c>
      <c r="M100" t="str">
        <f t="shared" si="3"/>
        <v>Agreement</v>
      </c>
    </row>
    <row r="101" spans="1:13" x14ac:dyDescent="0.3">
      <c r="A101" t="s">
        <v>298</v>
      </c>
      <c r="B101" t="s">
        <v>299</v>
      </c>
      <c r="C101" t="s">
        <v>15</v>
      </c>
      <c r="D101" t="s">
        <v>15</v>
      </c>
      <c r="E101">
        <v>1</v>
      </c>
      <c r="F101">
        <v>0</v>
      </c>
      <c r="G101">
        <v>0</v>
      </c>
      <c r="H101" s="1" t="s">
        <v>300</v>
      </c>
      <c r="I101">
        <v>8.3667986E-2</v>
      </c>
      <c r="J101" s="1" t="s">
        <v>301</v>
      </c>
      <c r="K101">
        <v>1</v>
      </c>
      <c r="L101">
        <v>1</v>
      </c>
      <c r="M101" t="str">
        <f t="shared" si="3"/>
        <v>Agreement</v>
      </c>
    </row>
    <row r="102" spans="1:13" x14ac:dyDescent="0.3">
      <c r="A102" t="s">
        <v>324</v>
      </c>
      <c r="B102" t="s">
        <v>325</v>
      </c>
      <c r="C102" t="s">
        <v>15</v>
      </c>
      <c r="D102" t="s">
        <v>15</v>
      </c>
      <c r="E102">
        <v>1</v>
      </c>
      <c r="F102">
        <v>0</v>
      </c>
      <c r="G102" s="1" t="s">
        <v>326</v>
      </c>
      <c r="H102" s="1" t="s">
        <v>327</v>
      </c>
      <c r="I102" s="1" t="s">
        <v>328</v>
      </c>
      <c r="J102" s="1" t="s">
        <v>329</v>
      </c>
      <c r="K102">
        <v>1</v>
      </c>
      <c r="L102">
        <v>1</v>
      </c>
      <c r="M102" t="str">
        <f t="shared" si="3"/>
        <v>Agreement</v>
      </c>
    </row>
    <row r="103" spans="1:13" x14ac:dyDescent="0.3">
      <c r="A103" t="s">
        <v>350</v>
      </c>
      <c r="B103" t="s">
        <v>351</v>
      </c>
      <c r="C103" t="s">
        <v>15</v>
      </c>
      <c r="D103" t="s">
        <v>15</v>
      </c>
      <c r="E103">
        <v>1</v>
      </c>
      <c r="F103">
        <v>0</v>
      </c>
      <c r="G103">
        <v>7.6335880000000002E-3</v>
      </c>
      <c r="H103" s="1" t="s">
        <v>352</v>
      </c>
      <c r="I103" s="1" t="s">
        <v>353</v>
      </c>
      <c r="J103">
        <v>4.1113037999999998E-2</v>
      </c>
      <c r="K103">
        <v>1</v>
      </c>
      <c r="L103">
        <v>1</v>
      </c>
      <c r="M103" t="str">
        <f t="shared" si="3"/>
        <v>Agreement</v>
      </c>
    </row>
    <row r="104" spans="1:13" x14ac:dyDescent="0.3">
      <c r="A104" t="s">
        <v>391</v>
      </c>
      <c r="B104" t="s">
        <v>392</v>
      </c>
      <c r="C104" t="s">
        <v>15</v>
      </c>
      <c r="D104" t="s">
        <v>15</v>
      </c>
      <c r="E104">
        <v>1</v>
      </c>
      <c r="F104">
        <v>0</v>
      </c>
      <c r="G104">
        <v>8.8461875999999995E-2</v>
      </c>
      <c r="H104" s="1" t="s">
        <v>393</v>
      </c>
      <c r="I104">
        <v>6.4056821E-2</v>
      </c>
      <c r="J104" s="1" t="s">
        <v>394</v>
      </c>
      <c r="K104">
        <v>1</v>
      </c>
      <c r="L104">
        <v>1</v>
      </c>
      <c r="M104" t="str">
        <f t="shared" si="3"/>
        <v>Agreement</v>
      </c>
    </row>
    <row r="105" spans="1:13" x14ac:dyDescent="0.3">
      <c r="A105" t="s">
        <v>399</v>
      </c>
      <c r="B105" t="s">
        <v>400</v>
      </c>
      <c r="C105" t="s">
        <v>15</v>
      </c>
      <c r="D105" t="s">
        <v>15</v>
      </c>
      <c r="E105">
        <v>1</v>
      </c>
      <c r="F105">
        <v>0</v>
      </c>
      <c r="G105">
        <v>0</v>
      </c>
      <c r="H105" s="1" t="s">
        <v>401</v>
      </c>
      <c r="I105" s="1" t="s">
        <v>402</v>
      </c>
      <c r="J105">
        <v>7.2637892999999995E-2</v>
      </c>
      <c r="K105">
        <v>1</v>
      </c>
      <c r="L105">
        <v>1</v>
      </c>
      <c r="M105" t="str">
        <f t="shared" si="3"/>
        <v>Agreement</v>
      </c>
    </row>
    <row r="106" spans="1:13" x14ac:dyDescent="0.3">
      <c r="A106" t="s">
        <v>403</v>
      </c>
      <c r="B106" t="s">
        <v>404</v>
      </c>
      <c r="C106" t="s">
        <v>15</v>
      </c>
      <c r="D106" t="s">
        <v>15</v>
      </c>
      <c r="E106">
        <v>1</v>
      </c>
      <c r="F106">
        <v>0</v>
      </c>
      <c r="G106">
        <v>0</v>
      </c>
      <c r="H106" s="1" t="s">
        <v>401</v>
      </c>
      <c r="I106" s="1" t="s">
        <v>402</v>
      </c>
      <c r="J106">
        <v>7.2637892999999995E-2</v>
      </c>
      <c r="K106">
        <v>1</v>
      </c>
      <c r="L106">
        <v>1</v>
      </c>
      <c r="M106" t="str">
        <f t="shared" si="3"/>
        <v>Agreement</v>
      </c>
    </row>
    <row r="107" spans="1:13" x14ac:dyDescent="0.3">
      <c r="A107" t="s">
        <v>410</v>
      </c>
      <c r="B107" t="s">
        <v>411</v>
      </c>
      <c r="C107" t="s">
        <v>15</v>
      </c>
      <c r="D107" t="s">
        <v>15</v>
      </c>
      <c r="E107">
        <v>1</v>
      </c>
      <c r="F107">
        <v>0</v>
      </c>
      <c r="G107">
        <v>0</v>
      </c>
      <c r="H107" s="1" t="s">
        <v>412</v>
      </c>
      <c r="I107">
        <v>5.5232409000000003E-2</v>
      </c>
      <c r="J107">
        <v>2.1468028E-2</v>
      </c>
      <c r="K107">
        <v>1</v>
      </c>
      <c r="L107">
        <v>1</v>
      </c>
      <c r="M107" t="str">
        <f t="shared" si="3"/>
        <v>Agreement</v>
      </c>
    </row>
    <row r="108" spans="1:13" x14ac:dyDescent="0.3">
      <c r="A108" t="s">
        <v>418</v>
      </c>
      <c r="B108" t="s">
        <v>419</v>
      </c>
      <c r="C108" t="s">
        <v>15</v>
      </c>
      <c r="D108" t="s">
        <v>15</v>
      </c>
      <c r="E108">
        <v>1</v>
      </c>
      <c r="F108">
        <v>0</v>
      </c>
      <c r="G108">
        <v>9.6443398999999999E-2</v>
      </c>
      <c r="H108">
        <v>0.96103197299999998</v>
      </c>
      <c r="I108" s="1" t="s">
        <v>420</v>
      </c>
      <c r="J108">
        <v>2.356039E-2</v>
      </c>
      <c r="K108">
        <v>1</v>
      </c>
      <c r="L108">
        <v>1</v>
      </c>
      <c r="M108" t="str">
        <f t="shared" si="3"/>
        <v>Agreement</v>
      </c>
    </row>
    <row r="109" spans="1:13" x14ac:dyDescent="0.3">
      <c r="A109" t="s">
        <v>421</v>
      </c>
      <c r="B109" t="s">
        <v>422</v>
      </c>
      <c r="C109" t="s">
        <v>15</v>
      </c>
      <c r="D109" t="s">
        <v>15</v>
      </c>
      <c r="E109">
        <v>1</v>
      </c>
      <c r="F109">
        <v>0</v>
      </c>
      <c r="G109">
        <v>9.6443398999999999E-2</v>
      </c>
      <c r="H109">
        <v>0.96103197299999998</v>
      </c>
      <c r="I109" s="1" t="s">
        <v>420</v>
      </c>
      <c r="J109">
        <v>2.356039E-2</v>
      </c>
      <c r="K109">
        <v>1</v>
      </c>
      <c r="L109">
        <v>1</v>
      </c>
      <c r="M109" t="str">
        <f t="shared" si="3"/>
        <v>Agreement</v>
      </c>
    </row>
    <row r="110" spans="1:13" x14ac:dyDescent="0.3">
      <c r="A110" t="s">
        <v>423</v>
      </c>
      <c r="B110" t="s">
        <v>424</v>
      </c>
      <c r="C110" t="s">
        <v>15</v>
      </c>
      <c r="D110" t="s">
        <v>15</v>
      </c>
      <c r="E110">
        <v>1</v>
      </c>
      <c r="F110">
        <v>0</v>
      </c>
      <c r="G110">
        <v>8.2224179999999994E-2</v>
      </c>
      <c r="H110" s="1" t="s">
        <v>425</v>
      </c>
      <c r="I110" s="1" t="s">
        <v>426</v>
      </c>
      <c r="J110" s="1" t="s">
        <v>427</v>
      </c>
      <c r="K110">
        <v>1</v>
      </c>
      <c r="L110">
        <v>1</v>
      </c>
      <c r="M110" t="str">
        <f t="shared" si="3"/>
        <v>Agreement</v>
      </c>
    </row>
    <row r="111" spans="1:13" x14ac:dyDescent="0.3">
      <c r="A111" t="s">
        <v>432</v>
      </c>
      <c r="B111" t="s">
        <v>433</v>
      </c>
      <c r="C111" t="s">
        <v>15</v>
      </c>
      <c r="D111" t="s">
        <v>15</v>
      </c>
      <c r="E111">
        <v>1</v>
      </c>
      <c r="F111">
        <v>0</v>
      </c>
      <c r="G111">
        <v>0</v>
      </c>
      <c r="H111" s="1" t="s">
        <v>434</v>
      </c>
      <c r="I111" s="1" t="s">
        <v>435</v>
      </c>
      <c r="J111">
        <v>4.0753446999999998E-2</v>
      </c>
      <c r="K111">
        <v>1</v>
      </c>
      <c r="L111">
        <v>1</v>
      </c>
      <c r="M111" t="str">
        <f t="shared" si="3"/>
        <v>Agreement</v>
      </c>
    </row>
    <row r="112" spans="1:13" x14ac:dyDescent="0.3">
      <c r="A112" t="s">
        <v>442</v>
      </c>
      <c r="B112" t="s">
        <v>443</v>
      </c>
      <c r="C112" t="s">
        <v>15</v>
      </c>
      <c r="D112" t="s">
        <v>15</v>
      </c>
      <c r="E112">
        <v>1</v>
      </c>
      <c r="F112">
        <v>0</v>
      </c>
      <c r="G112" s="1" t="s">
        <v>77</v>
      </c>
      <c r="H112" s="1" t="s">
        <v>444</v>
      </c>
      <c r="I112" s="1" t="s">
        <v>445</v>
      </c>
      <c r="J112" s="1" t="s">
        <v>446</v>
      </c>
      <c r="K112">
        <v>1</v>
      </c>
      <c r="L112">
        <v>1</v>
      </c>
      <c r="M112" t="str">
        <f t="shared" si="3"/>
        <v>Agreement</v>
      </c>
    </row>
    <row r="113" spans="1:13" x14ac:dyDescent="0.3">
      <c r="A113" t="s">
        <v>453</v>
      </c>
      <c r="B113" t="s">
        <v>454</v>
      </c>
      <c r="C113" t="s">
        <v>15</v>
      </c>
      <c r="D113" t="s">
        <v>15</v>
      </c>
      <c r="E113">
        <v>1</v>
      </c>
      <c r="F113">
        <v>0</v>
      </c>
      <c r="G113">
        <v>0</v>
      </c>
      <c r="H113" s="1" t="s">
        <v>455</v>
      </c>
      <c r="I113" s="1" t="s">
        <v>456</v>
      </c>
      <c r="J113">
        <v>5.2983407000000003E-2</v>
      </c>
      <c r="K113">
        <v>1</v>
      </c>
      <c r="L113">
        <v>1</v>
      </c>
      <c r="M113" t="str">
        <f t="shared" si="3"/>
        <v>Agreement</v>
      </c>
    </row>
    <row r="114" spans="1:13" x14ac:dyDescent="0.3">
      <c r="A114" t="s">
        <v>463</v>
      </c>
      <c r="B114" t="s">
        <v>464</v>
      </c>
      <c r="C114" t="s">
        <v>15</v>
      </c>
      <c r="D114" t="s">
        <v>15</v>
      </c>
      <c r="E114">
        <v>1</v>
      </c>
      <c r="F114">
        <v>0</v>
      </c>
      <c r="G114" s="1" t="s">
        <v>465</v>
      </c>
      <c r="H114" s="1" t="s">
        <v>466</v>
      </c>
      <c r="I114" s="1" t="s">
        <v>467</v>
      </c>
      <c r="J114" s="1" t="s">
        <v>468</v>
      </c>
      <c r="K114">
        <v>1</v>
      </c>
      <c r="L114">
        <v>1</v>
      </c>
      <c r="M114" t="str">
        <f t="shared" si="3"/>
        <v>Agreement</v>
      </c>
    </row>
    <row r="115" spans="1:13" x14ac:dyDescent="0.3">
      <c r="A115" t="s">
        <v>481</v>
      </c>
      <c r="B115" t="s">
        <v>482</v>
      </c>
      <c r="C115" t="s">
        <v>15</v>
      </c>
      <c r="D115" t="s">
        <v>15</v>
      </c>
      <c r="E115">
        <v>1</v>
      </c>
      <c r="F115">
        <v>0</v>
      </c>
      <c r="G115" s="1" t="s">
        <v>77</v>
      </c>
      <c r="H115" s="1" t="s">
        <v>483</v>
      </c>
      <c r="I115" s="1" t="s">
        <v>484</v>
      </c>
      <c r="J115">
        <v>3.1898014000000002E-2</v>
      </c>
      <c r="K115">
        <v>1</v>
      </c>
      <c r="L115">
        <v>1</v>
      </c>
      <c r="M115" t="str">
        <f t="shared" si="3"/>
        <v>Agreement</v>
      </c>
    </row>
    <row r="116" spans="1:13" x14ac:dyDescent="0.3">
      <c r="A116" t="s">
        <v>485</v>
      </c>
      <c r="B116" t="s">
        <v>486</v>
      </c>
      <c r="C116" t="s">
        <v>15</v>
      </c>
      <c r="D116" t="s">
        <v>15</v>
      </c>
      <c r="E116">
        <v>1</v>
      </c>
      <c r="F116">
        <v>0</v>
      </c>
      <c r="G116" s="1" t="s">
        <v>487</v>
      </c>
      <c r="H116">
        <v>0.94782847199999998</v>
      </c>
      <c r="I116">
        <v>6.0752840000000002E-3</v>
      </c>
      <c r="J116">
        <v>4.6096321000000003E-2</v>
      </c>
      <c r="K116">
        <v>1</v>
      </c>
      <c r="L116">
        <v>1</v>
      </c>
      <c r="M116" t="str">
        <f t="shared" si="3"/>
        <v>Agreement</v>
      </c>
    </row>
    <row r="117" spans="1:13" x14ac:dyDescent="0.3">
      <c r="A117" t="s">
        <v>488</v>
      </c>
      <c r="B117" t="s">
        <v>489</v>
      </c>
      <c r="C117" t="s">
        <v>15</v>
      </c>
      <c r="D117" t="s">
        <v>15</v>
      </c>
      <c r="E117">
        <v>1</v>
      </c>
      <c r="F117">
        <v>0</v>
      </c>
      <c r="G117" s="1" t="s">
        <v>490</v>
      </c>
      <c r="H117" s="1" t="s">
        <v>491</v>
      </c>
      <c r="I117">
        <v>1.7929146E-2</v>
      </c>
      <c r="J117" s="1" t="s">
        <v>492</v>
      </c>
      <c r="K117">
        <v>1</v>
      </c>
      <c r="L117">
        <v>1</v>
      </c>
      <c r="M117" t="str">
        <f t="shared" si="3"/>
        <v>Agreement</v>
      </c>
    </row>
    <row r="118" spans="1:13" x14ac:dyDescent="0.3">
      <c r="A118" t="s">
        <v>493</v>
      </c>
      <c r="B118" t="s">
        <v>494</v>
      </c>
      <c r="C118" t="s">
        <v>15</v>
      </c>
      <c r="D118" t="s">
        <v>15</v>
      </c>
      <c r="E118">
        <v>1</v>
      </c>
      <c r="F118">
        <v>0</v>
      </c>
      <c r="G118" s="1" t="s">
        <v>490</v>
      </c>
      <c r="H118" s="1" t="s">
        <v>491</v>
      </c>
      <c r="I118">
        <v>1.7929146E-2</v>
      </c>
      <c r="J118" s="1" t="s">
        <v>492</v>
      </c>
      <c r="K118">
        <v>1</v>
      </c>
      <c r="L118">
        <v>1</v>
      </c>
      <c r="M118" t="str">
        <f t="shared" si="3"/>
        <v>Agreement</v>
      </c>
    </row>
    <row r="119" spans="1:13" x14ac:dyDescent="0.3">
      <c r="A119" t="s">
        <v>498</v>
      </c>
      <c r="B119" t="s">
        <v>499</v>
      </c>
      <c r="C119" t="s">
        <v>15</v>
      </c>
      <c r="D119" t="s">
        <v>15</v>
      </c>
      <c r="E119">
        <v>1</v>
      </c>
      <c r="F119">
        <v>0</v>
      </c>
      <c r="G119">
        <v>0</v>
      </c>
      <c r="H119" s="1" t="s">
        <v>500</v>
      </c>
      <c r="I119">
        <v>8.1478648000000001E-2</v>
      </c>
      <c r="J119">
        <v>6.5948613000000003E-2</v>
      </c>
      <c r="K119">
        <v>1</v>
      </c>
      <c r="L119">
        <v>1</v>
      </c>
      <c r="M119" t="str">
        <f t="shared" si="3"/>
        <v>Agreement</v>
      </c>
    </row>
    <row r="120" spans="1:13" x14ac:dyDescent="0.3">
      <c r="A120" t="s">
        <v>501</v>
      </c>
      <c r="B120" t="s">
        <v>502</v>
      </c>
      <c r="C120" t="s">
        <v>15</v>
      </c>
      <c r="D120" t="s">
        <v>15</v>
      </c>
      <c r="E120">
        <v>1</v>
      </c>
      <c r="F120">
        <v>0</v>
      </c>
      <c r="G120" s="1" t="s">
        <v>490</v>
      </c>
      <c r="H120" s="1" t="s">
        <v>491</v>
      </c>
      <c r="I120">
        <v>1.7929146E-2</v>
      </c>
      <c r="J120" s="1" t="s">
        <v>492</v>
      </c>
      <c r="K120">
        <v>1</v>
      </c>
      <c r="L120">
        <v>1</v>
      </c>
      <c r="M120" t="str">
        <f t="shared" si="3"/>
        <v>Agreement</v>
      </c>
    </row>
    <row r="121" spans="1:13" x14ac:dyDescent="0.3">
      <c r="A121" t="s">
        <v>506</v>
      </c>
      <c r="B121" t="s">
        <v>507</v>
      </c>
      <c r="C121" t="s">
        <v>15</v>
      </c>
      <c r="D121" t="s">
        <v>15</v>
      </c>
      <c r="E121">
        <v>1</v>
      </c>
      <c r="F121">
        <v>0</v>
      </c>
      <c r="G121">
        <v>7.6335880000000002E-3</v>
      </c>
      <c r="H121" s="1" t="s">
        <v>508</v>
      </c>
      <c r="I121" s="1" t="s">
        <v>509</v>
      </c>
      <c r="J121" s="1" t="s">
        <v>510</v>
      </c>
      <c r="K121">
        <v>1</v>
      </c>
      <c r="L121">
        <v>1</v>
      </c>
      <c r="M121" t="str">
        <f t="shared" si="3"/>
        <v>Agreement</v>
      </c>
    </row>
    <row r="122" spans="1:13" x14ac:dyDescent="0.3">
      <c r="A122" t="s">
        <v>511</v>
      </c>
      <c r="B122" t="s">
        <v>512</v>
      </c>
      <c r="C122" t="s">
        <v>15</v>
      </c>
      <c r="D122" t="s">
        <v>15</v>
      </c>
      <c r="E122">
        <v>1</v>
      </c>
      <c r="F122">
        <v>0</v>
      </c>
      <c r="G122">
        <v>7.6335880000000002E-3</v>
      </c>
      <c r="H122" s="1" t="s">
        <v>508</v>
      </c>
      <c r="I122" s="1" t="s">
        <v>509</v>
      </c>
      <c r="J122" s="1" t="s">
        <v>510</v>
      </c>
      <c r="K122">
        <v>1</v>
      </c>
      <c r="L122">
        <v>1</v>
      </c>
      <c r="M122" t="str">
        <f t="shared" si="3"/>
        <v>Agreement</v>
      </c>
    </row>
    <row r="123" spans="1:13" x14ac:dyDescent="0.3">
      <c r="A123" t="s">
        <v>513</v>
      </c>
      <c r="B123" t="s">
        <v>514</v>
      </c>
      <c r="C123" t="s">
        <v>15</v>
      </c>
      <c r="D123" t="s">
        <v>15</v>
      </c>
      <c r="E123">
        <v>1</v>
      </c>
      <c r="F123">
        <v>0</v>
      </c>
      <c r="G123" s="1" t="s">
        <v>77</v>
      </c>
      <c r="H123" s="1" t="s">
        <v>483</v>
      </c>
      <c r="I123" s="1" t="s">
        <v>484</v>
      </c>
      <c r="J123">
        <v>3.1898014000000002E-2</v>
      </c>
      <c r="K123">
        <v>1</v>
      </c>
      <c r="L123">
        <v>1</v>
      </c>
      <c r="M123" t="str">
        <f t="shared" si="3"/>
        <v>Agreement</v>
      </c>
    </row>
    <row r="124" spans="1:13" x14ac:dyDescent="0.3">
      <c r="A124" t="s">
        <v>515</v>
      </c>
      <c r="B124" t="s">
        <v>516</v>
      </c>
      <c r="C124" t="s">
        <v>15</v>
      </c>
      <c r="D124" t="s">
        <v>15</v>
      </c>
      <c r="E124">
        <v>1</v>
      </c>
      <c r="F124">
        <v>0</v>
      </c>
      <c r="G124" s="1" t="s">
        <v>77</v>
      </c>
      <c r="H124" s="1" t="s">
        <v>483</v>
      </c>
      <c r="I124" s="1" t="s">
        <v>484</v>
      </c>
      <c r="J124">
        <v>3.1898014000000002E-2</v>
      </c>
      <c r="K124">
        <v>1</v>
      </c>
      <c r="L124">
        <v>1</v>
      </c>
      <c r="M124" t="str">
        <f t="shared" si="3"/>
        <v>Agreement</v>
      </c>
    </row>
    <row r="125" spans="1:13" x14ac:dyDescent="0.3">
      <c r="A125" t="s">
        <v>517</v>
      </c>
      <c r="B125" t="s">
        <v>518</v>
      </c>
      <c r="C125" t="s">
        <v>15</v>
      </c>
      <c r="D125" t="s">
        <v>15</v>
      </c>
      <c r="E125">
        <v>1</v>
      </c>
      <c r="F125">
        <v>0</v>
      </c>
      <c r="G125">
        <v>8.3472702999999995E-2</v>
      </c>
      <c r="H125" s="1" t="s">
        <v>519</v>
      </c>
      <c r="I125" s="1" t="s">
        <v>520</v>
      </c>
      <c r="J125">
        <v>2.2787305000000001E-2</v>
      </c>
      <c r="K125">
        <v>1</v>
      </c>
      <c r="L125">
        <v>1</v>
      </c>
      <c r="M125" t="str">
        <f t="shared" si="3"/>
        <v>Agreement</v>
      </c>
    </row>
    <row r="126" spans="1:13" x14ac:dyDescent="0.3">
      <c r="A126" t="s">
        <v>542</v>
      </c>
      <c r="B126" t="s">
        <v>543</v>
      </c>
      <c r="C126" t="s">
        <v>15</v>
      </c>
      <c r="D126" t="s">
        <v>15</v>
      </c>
      <c r="E126">
        <v>1</v>
      </c>
      <c r="F126">
        <v>0</v>
      </c>
      <c r="G126">
        <v>0</v>
      </c>
      <c r="H126" s="1" t="s">
        <v>300</v>
      </c>
      <c r="I126">
        <v>8.3667970999999994E-2</v>
      </c>
      <c r="J126" s="1" t="s">
        <v>301</v>
      </c>
      <c r="K126">
        <v>1</v>
      </c>
      <c r="L126">
        <v>1</v>
      </c>
      <c r="M126" t="str">
        <f t="shared" si="3"/>
        <v>Agreement</v>
      </c>
    </row>
    <row r="127" spans="1:13" x14ac:dyDescent="0.3">
      <c r="A127" t="s">
        <v>560</v>
      </c>
      <c r="B127" t="s">
        <v>561</v>
      </c>
      <c r="C127" t="s">
        <v>15</v>
      </c>
      <c r="D127" t="s">
        <v>15</v>
      </c>
      <c r="E127">
        <v>1</v>
      </c>
      <c r="F127">
        <v>0</v>
      </c>
      <c r="G127" s="1" t="s">
        <v>326</v>
      </c>
      <c r="H127" s="1" t="s">
        <v>562</v>
      </c>
      <c r="I127" s="1" t="s">
        <v>563</v>
      </c>
      <c r="J127">
        <v>6.9293595999999999E-2</v>
      </c>
      <c r="K127">
        <v>1</v>
      </c>
      <c r="L127">
        <v>1</v>
      </c>
      <c r="M127" t="str">
        <f t="shared" si="3"/>
        <v>Agreement</v>
      </c>
    </row>
    <row r="128" spans="1:13" x14ac:dyDescent="0.3">
      <c r="A128" t="s">
        <v>564</v>
      </c>
      <c r="B128" t="s">
        <v>565</v>
      </c>
      <c r="C128" t="s">
        <v>15</v>
      </c>
      <c r="D128" t="s">
        <v>15</v>
      </c>
      <c r="E128">
        <v>1</v>
      </c>
      <c r="F128">
        <v>0</v>
      </c>
      <c r="G128" s="1" t="s">
        <v>326</v>
      </c>
      <c r="H128" s="1" t="s">
        <v>562</v>
      </c>
      <c r="I128" s="1" t="s">
        <v>563</v>
      </c>
      <c r="J128">
        <v>6.9293595999999999E-2</v>
      </c>
      <c r="K128">
        <v>1</v>
      </c>
      <c r="L128">
        <v>1</v>
      </c>
      <c r="M128" t="str">
        <f t="shared" si="3"/>
        <v>Agreement</v>
      </c>
    </row>
    <row r="129" spans="1:13" x14ac:dyDescent="0.3">
      <c r="A129" t="s">
        <v>582</v>
      </c>
      <c r="B129" t="s">
        <v>583</v>
      </c>
      <c r="C129" t="s">
        <v>15</v>
      </c>
      <c r="D129" t="s">
        <v>15</v>
      </c>
      <c r="E129">
        <v>1</v>
      </c>
      <c r="F129">
        <v>0</v>
      </c>
      <c r="G129" s="1" t="s">
        <v>326</v>
      </c>
      <c r="H129" s="1" t="s">
        <v>308</v>
      </c>
      <c r="I129" s="1" t="s">
        <v>309</v>
      </c>
      <c r="J129">
        <v>8.4411E-3</v>
      </c>
      <c r="K129">
        <v>1</v>
      </c>
      <c r="L129">
        <v>1</v>
      </c>
      <c r="M129" t="str">
        <f t="shared" si="3"/>
        <v>Agreement</v>
      </c>
    </row>
    <row r="130" spans="1:13" x14ac:dyDescent="0.3">
      <c r="A130" t="s">
        <v>584</v>
      </c>
      <c r="B130" t="s">
        <v>585</v>
      </c>
      <c r="C130" t="s">
        <v>15</v>
      </c>
      <c r="D130" t="s">
        <v>15</v>
      </c>
      <c r="E130">
        <v>1</v>
      </c>
      <c r="F130">
        <v>0</v>
      </c>
      <c r="G130" s="1" t="s">
        <v>578</v>
      </c>
      <c r="H130" s="1" t="s">
        <v>586</v>
      </c>
      <c r="I130" s="1" t="s">
        <v>587</v>
      </c>
      <c r="J130" s="1" t="s">
        <v>588</v>
      </c>
      <c r="K130">
        <v>1</v>
      </c>
      <c r="L130">
        <v>1</v>
      </c>
      <c r="M130" t="str">
        <f t="shared" si="3"/>
        <v>Agreement</v>
      </c>
    </row>
    <row r="131" spans="1:13" x14ac:dyDescent="0.3">
      <c r="A131" t="s">
        <v>589</v>
      </c>
      <c r="B131" t="s">
        <v>590</v>
      </c>
      <c r="C131" t="s">
        <v>15</v>
      </c>
      <c r="D131" t="s">
        <v>15</v>
      </c>
      <c r="E131">
        <v>1</v>
      </c>
      <c r="F131">
        <v>0</v>
      </c>
      <c r="G131" s="1" t="s">
        <v>77</v>
      </c>
      <c r="H131" s="1" t="s">
        <v>483</v>
      </c>
      <c r="I131" s="1" t="s">
        <v>484</v>
      </c>
      <c r="J131">
        <v>3.1898014000000002E-2</v>
      </c>
      <c r="K131">
        <v>1</v>
      </c>
      <c r="L131">
        <v>1</v>
      </c>
      <c r="M131" t="str">
        <f t="shared" si="3"/>
        <v>Agreement</v>
      </c>
    </row>
    <row r="132" spans="1:13" x14ac:dyDescent="0.3">
      <c r="A132" t="s">
        <v>306</v>
      </c>
      <c r="B132" t="s">
        <v>307</v>
      </c>
      <c r="C132" t="s">
        <v>15</v>
      </c>
      <c r="D132" t="s">
        <v>15</v>
      </c>
      <c r="E132">
        <v>0</v>
      </c>
      <c r="F132">
        <v>0</v>
      </c>
      <c r="G132">
        <v>0</v>
      </c>
      <c r="H132" s="1" t="s">
        <v>308</v>
      </c>
      <c r="I132" s="1" t="s">
        <v>309</v>
      </c>
      <c r="J132">
        <v>8.4411E-3</v>
      </c>
      <c r="K132">
        <v>1</v>
      </c>
      <c r="L132">
        <v>1</v>
      </c>
      <c r="M132" t="str">
        <f t="shared" si="3"/>
        <v>Agreement</v>
      </c>
    </row>
    <row r="133" spans="1:13" x14ac:dyDescent="0.3">
      <c r="A133" t="s">
        <v>363</v>
      </c>
      <c r="B133" t="s">
        <v>364</v>
      </c>
      <c r="C133" t="s">
        <v>15</v>
      </c>
      <c r="D133" t="s">
        <v>15</v>
      </c>
      <c r="E133">
        <v>0</v>
      </c>
      <c r="F133">
        <v>0</v>
      </c>
      <c r="G133">
        <v>0</v>
      </c>
      <c r="H133" s="1" t="s">
        <v>308</v>
      </c>
      <c r="I133" s="1" t="s">
        <v>309</v>
      </c>
      <c r="J133">
        <v>8.4411E-3</v>
      </c>
      <c r="K133">
        <v>1</v>
      </c>
      <c r="L133">
        <v>1</v>
      </c>
      <c r="M133" t="str">
        <f t="shared" si="3"/>
        <v>Agreement</v>
      </c>
    </row>
  </sheetData>
  <sortState xmlns:xlrd2="http://schemas.microsoft.com/office/spreadsheetml/2017/richdata2" ref="A2:M134">
    <sortCondition descending="1" ref="E2:E1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DD6F-9D6F-445D-985B-44C88E34C309}">
  <dimension ref="A3:B9"/>
  <sheetViews>
    <sheetView zoomScale="235" zoomScaleNormal="235" workbookViewId="0">
      <selection activeCell="B18" sqref="B18"/>
    </sheetView>
  </sheetViews>
  <sheetFormatPr defaultRowHeight="14.4" x14ac:dyDescent="0.3"/>
  <cols>
    <col min="1" max="1" width="13.88671875" bestFit="1" customWidth="1"/>
    <col min="2" max="2" width="10" bestFit="1" customWidth="1"/>
  </cols>
  <sheetData>
    <row r="3" spans="1:2" x14ac:dyDescent="0.3">
      <c r="A3" s="2" t="s">
        <v>592</v>
      </c>
      <c r="B3" t="s">
        <v>596</v>
      </c>
    </row>
    <row r="4" spans="1:2" x14ac:dyDescent="0.3">
      <c r="A4" s="3" t="s">
        <v>593</v>
      </c>
      <c r="B4">
        <v>103</v>
      </c>
    </row>
    <row r="5" spans="1:2" x14ac:dyDescent="0.3">
      <c r="A5" s="3" t="s">
        <v>594</v>
      </c>
      <c r="B5">
        <v>29</v>
      </c>
    </row>
    <row r="6" spans="1:2" x14ac:dyDescent="0.3">
      <c r="A6" s="3" t="s">
        <v>595</v>
      </c>
      <c r="B6">
        <v>132</v>
      </c>
    </row>
    <row r="9" spans="1:2" x14ac:dyDescent="0.3">
      <c r="A9" s="3" t="s">
        <v>597</v>
      </c>
      <c r="B9" s="4">
        <f>102/GETPIVOTDATA("Id",$A$3)</f>
        <v>0.77272727272727271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2D29-B2C8-4747-9025-4DBDB864BE07}">
  <dimension ref="A1:O11"/>
  <sheetViews>
    <sheetView tabSelected="1" zoomScale="190" zoomScaleNormal="190" workbookViewId="0">
      <selection sqref="A1:G1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599</v>
      </c>
      <c r="F1" t="s">
        <v>600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591</v>
      </c>
    </row>
    <row r="2" spans="1:15" x14ac:dyDescent="0.3">
      <c r="A2" t="s">
        <v>169</v>
      </c>
      <c r="B2" t="s">
        <v>170</v>
      </c>
      <c r="C2" t="s">
        <v>21</v>
      </c>
      <c r="D2" t="s">
        <v>21</v>
      </c>
      <c r="E2" t="s">
        <v>21</v>
      </c>
      <c r="G2">
        <v>15</v>
      </c>
      <c r="H2">
        <v>8.1384108999999996E-2</v>
      </c>
      <c r="I2" s="1" t="s">
        <v>171</v>
      </c>
      <c r="J2" s="1" t="s">
        <v>172</v>
      </c>
      <c r="K2">
        <v>5.1846100000000001E-4</v>
      </c>
      <c r="L2" s="1" t="s">
        <v>173</v>
      </c>
      <c r="M2">
        <v>3</v>
      </c>
      <c r="N2">
        <v>3</v>
      </c>
      <c r="O2" t="str">
        <f t="shared" ref="O2:O11" si="0">IF(C2=D2,"Agreement","Disagreement")</f>
        <v>Agreement</v>
      </c>
    </row>
    <row r="3" spans="1:15" x14ac:dyDescent="0.3">
      <c r="A3" t="s">
        <v>184</v>
      </c>
      <c r="B3" t="s">
        <v>185</v>
      </c>
      <c r="C3" t="s">
        <v>21</v>
      </c>
      <c r="D3" t="s">
        <v>21</v>
      </c>
      <c r="E3" t="s">
        <v>14</v>
      </c>
      <c r="F3" t="s">
        <v>604</v>
      </c>
      <c r="G3">
        <v>14</v>
      </c>
      <c r="H3">
        <v>8.7336414000000001E-2</v>
      </c>
      <c r="I3" s="1" t="s">
        <v>186</v>
      </c>
      <c r="J3" s="1" t="s">
        <v>187</v>
      </c>
      <c r="K3">
        <v>3.0979010000000001E-3</v>
      </c>
      <c r="L3" s="1" t="s">
        <v>188</v>
      </c>
      <c r="M3">
        <v>3</v>
      </c>
      <c r="N3">
        <v>3</v>
      </c>
      <c r="O3" t="str">
        <f t="shared" si="0"/>
        <v>Agreement</v>
      </c>
    </row>
    <row r="4" spans="1:15" x14ac:dyDescent="0.3">
      <c r="A4" t="s">
        <v>242</v>
      </c>
      <c r="B4" t="s">
        <v>243</v>
      </c>
      <c r="C4" t="s">
        <v>21</v>
      </c>
      <c r="D4" t="s">
        <v>21</v>
      </c>
      <c r="E4" t="s">
        <v>21</v>
      </c>
      <c r="G4">
        <v>14</v>
      </c>
      <c r="H4" s="1" t="s">
        <v>244</v>
      </c>
      <c r="I4" s="1" t="s">
        <v>245</v>
      </c>
      <c r="J4" s="1" t="s">
        <v>246</v>
      </c>
      <c r="K4">
        <v>1.433567E-3</v>
      </c>
      <c r="L4" s="1" t="s">
        <v>247</v>
      </c>
      <c r="M4">
        <v>3</v>
      </c>
      <c r="N4">
        <v>3</v>
      </c>
      <c r="O4" t="str">
        <f t="shared" si="0"/>
        <v>Agreement</v>
      </c>
    </row>
    <row r="5" spans="1:15" x14ac:dyDescent="0.3">
      <c r="A5" t="s">
        <v>52</v>
      </c>
      <c r="B5" t="s">
        <v>53</v>
      </c>
      <c r="C5" t="s">
        <v>21</v>
      </c>
      <c r="D5" t="s">
        <v>21</v>
      </c>
      <c r="E5" t="s">
        <v>21</v>
      </c>
      <c r="G5">
        <v>12</v>
      </c>
      <c r="H5">
        <v>8.3886050000000004E-2</v>
      </c>
      <c r="I5" s="1" t="s">
        <v>54</v>
      </c>
      <c r="J5" s="1" t="s">
        <v>55</v>
      </c>
      <c r="K5" s="1" t="s">
        <v>56</v>
      </c>
      <c r="L5" s="1" t="s">
        <v>57</v>
      </c>
      <c r="M5">
        <v>3</v>
      </c>
      <c r="N5">
        <v>3</v>
      </c>
      <c r="O5" t="str">
        <f t="shared" si="0"/>
        <v>Agreement</v>
      </c>
    </row>
    <row r="6" spans="1:15" x14ac:dyDescent="0.3">
      <c r="A6" t="s">
        <v>98</v>
      </c>
      <c r="B6" t="s">
        <v>99</v>
      </c>
      <c r="C6" t="s">
        <v>21</v>
      </c>
      <c r="D6" t="s">
        <v>21</v>
      </c>
      <c r="E6" t="s">
        <v>21</v>
      </c>
      <c r="G6">
        <v>11</v>
      </c>
      <c r="H6" s="1" t="s">
        <v>100</v>
      </c>
      <c r="I6" s="1" t="s">
        <v>101</v>
      </c>
      <c r="J6" s="1" t="s">
        <v>102</v>
      </c>
      <c r="K6">
        <v>2.3238286E-2</v>
      </c>
      <c r="L6" s="1" t="s">
        <v>103</v>
      </c>
      <c r="M6">
        <v>3</v>
      </c>
      <c r="N6">
        <v>3</v>
      </c>
      <c r="O6" t="str">
        <f t="shared" si="0"/>
        <v>Agreement</v>
      </c>
    </row>
    <row r="7" spans="1:15" x14ac:dyDescent="0.3">
      <c r="A7" t="s">
        <v>114</v>
      </c>
      <c r="B7" t="s">
        <v>115</v>
      </c>
      <c r="C7" t="s">
        <v>21</v>
      </c>
      <c r="D7" t="s">
        <v>21</v>
      </c>
      <c r="E7" t="s">
        <v>21</v>
      </c>
      <c r="G7">
        <v>11</v>
      </c>
      <c r="H7" s="1" t="s">
        <v>116</v>
      </c>
      <c r="I7" s="1" t="s">
        <v>117</v>
      </c>
      <c r="J7" s="1" t="s">
        <v>118</v>
      </c>
      <c r="K7">
        <v>1.2179966E-2</v>
      </c>
      <c r="L7">
        <v>0.98782002899999999</v>
      </c>
      <c r="M7">
        <v>3</v>
      </c>
      <c r="N7">
        <v>3</v>
      </c>
      <c r="O7" t="str">
        <f t="shared" si="0"/>
        <v>Agreement</v>
      </c>
    </row>
    <row r="8" spans="1:15" x14ac:dyDescent="0.3">
      <c r="A8" t="s">
        <v>471</v>
      </c>
      <c r="B8" t="s">
        <v>472</v>
      </c>
      <c r="C8" t="s">
        <v>21</v>
      </c>
      <c r="D8" t="s">
        <v>21</v>
      </c>
      <c r="E8" t="s">
        <v>14</v>
      </c>
      <c r="F8" t="s">
        <v>603</v>
      </c>
      <c r="G8">
        <v>11</v>
      </c>
      <c r="H8">
        <v>3.4520034999999998E-2</v>
      </c>
      <c r="I8" s="1" t="s">
        <v>473</v>
      </c>
      <c r="J8">
        <v>5.8850799999999996E-4</v>
      </c>
      <c r="K8">
        <v>7.1524499999999999E-4</v>
      </c>
      <c r="L8" s="1" t="s">
        <v>474</v>
      </c>
      <c r="M8">
        <v>3</v>
      </c>
      <c r="N8">
        <v>3</v>
      </c>
      <c r="O8" t="str">
        <f t="shared" si="0"/>
        <v>Agreement</v>
      </c>
    </row>
    <row r="9" spans="1:15" x14ac:dyDescent="0.3">
      <c r="A9" t="s">
        <v>40</v>
      </c>
      <c r="B9" t="s">
        <v>41</v>
      </c>
      <c r="C9" t="s">
        <v>21</v>
      </c>
      <c r="D9" t="s">
        <v>21</v>
      </c>
      <c r="E9" t="s">
        <v>21</v>
      </c>
      <c r="G9">
        <v>10</v>
      </c>
      <c r="H9" s="1" t="s">
        <v>42</v>
      </c>
      <c r="I9" s="1" t="s">
        <v>43</v>
      </c>
      <c r="J9" s="1" t="s">
        <v>44</v>
      </c>
      <c r="K9" s="1" t="s">
        <v>45</v>
      </c>
      <c r="L9" s="1" t="s">
        <v>46</v>
      </c>
      <c r="M9">
        <v>3</v>
      </c>
      <c r="N9">
        <v>3</v>
      </c>
      <c r="O9" t="str">
        <f t="shared" si="0"/>
        <v>Agreement</v>
      </c>
    </row>
    <row r="10" spans="1:15" x14ac:dyDescent="0.3">
      <c r="A10" t="s">
        <v>123</v>
      </c>
      <c r="B10" t="s">
        <v>124</v>
      </c>
      <c r="C10" t="s">
        <v>21</v>
      </c>
      <c r="D10" t="s">
        <v>21</v>
      </c>
      <c r="E10" t="s">
        <v>14</v>
      </c>
      <c r="F10" t="s">
        <v>602</v>
      </c>
      <c r="G10">
        <v>10</v>
      </c>
      <c r="H10" s="1" t="s">
        <v>125</v>
      </c>
      <c r="I10" s="1" t="s">
        <v>126</v>
      </c>
      <c r="J10" s="1" t="s">
        <v>127</v>
      </c>
      <c r="K10" s="1" t="s">
        <v>128</v>
      </c>
      <c r="L10">
        <v>0.97671800900000005</v>
      </c>
      <c r="M10">
        <v>3</v>
      </c>
      <c r="N10">
        <v>3</v>
      </c>
      <c r="O10" t="str">
        <f t="shared" si="0"/>
        <v>Agreement</v>
      </c>
    </row>
    <row r="11" spans="1:15" x14ac:dyDescent="0.3">
      <c r="A11" t="s">
        <v>330</v>
      </c>
      <c r="B11" t="s">
        <v>331</v>
      </c>
      <c r="C11" t="s">
        <v>21</v>
      </c>
      <c r="D11" t="s">
        <v>21</v>
      </c>
      <c r="E11" t="s">
        <v>14</v>
      </c>
      <c r="F11" t="s">
        <v>601</v>
      </c>
      <c r="G11">
        <v>8</v>
      </c>
      <c r="H11" s="1" t="s">
        <v>332</v>
      </c>
      <c r="I11" s="1" t="s">
        <v>333</v>
      </c>
      <c r="J11" s="1" t="s">
        <v>334</v>
      </c>
      <c r="K11">
        <v>7.4255809000000006E-2</v>
      </c>
      <c r="L11" s="1" t="s">
        <v>335</v>
      </c>
      <c r="M11">
        <v>3</v>
      </c>
      <c r="N11">
        <v>3</v>
      </c>
      <c r="O11" t="str">
        <f t="shared" si="0"/>
        <v>Agreement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warehouse_gnn_gephi_nodes</vt:lpstr>
      <vt:lpstr>Agreement Table</vt:lpstr>
      <vt:lpstr>Top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Joris Wilson</cp:lastModifiedBy>
  <dcterms:created xsi:type="dcterms:W3CDTF">2025-12-08T04:54:24Z</dcterms:created>
  <dcterms:modified xsi:type="dcterms:W3CDTF">2025-12-10T01:14:52Z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2025-12-08T09:18:01Z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c267efa9-4b5d-4c67-aba2-680ac6167ca4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10, 3, 0, 1</vt:lpwstr>
  </property>
</Properties>
</file>